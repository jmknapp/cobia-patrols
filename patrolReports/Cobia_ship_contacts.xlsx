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mkna\Downloads\"/>
    </mc:Choice>
  </mc:AlternateContent>
  <xr:revisionPtr revIDLastSave="0" documentId="13_ncr:1_{4B9BD18D-E73F-47D9-BAE5-C6A7531B2B88}" xr6:coauthVersionLast="47" xr6:coauthVersionMax="47" xr10:uidLastSave="{00000000-0000-0000-0000-000000000000}"/>
  <bookViews>
    <workbookView xWindow="-110" yWindow="-110" windowWidth="19420" windowHeight="11500" xr2:uid="{39974911-E1F4-40E2-B9D0-8DA4AEEFF7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0" i="1" l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66" i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49" i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23" i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</calcChain>
</file>

<file path=xl/sharedStrings.xml><?xml version="1.0" encoding="utf-8"?>
<sst xmlns="http://schemas.openxmlformats.org/spreadsheetml/2006/main" count="622" uniqueCount="179">
  <si>
    <t>contact</t>
  </si>
  <si>
    <t>observation date</t>
  </si>
  <si>
    <t>observation time</t>
  </si>
  <si>
    <t>timezone</t>
  </si>
  <si>
    <t>type</t>
  </si>
  <si>
    <t>range</t>
  </si>
  <si>
    <t>course</t>
  </si>
  <si>
    <t>speed</t>
  </si>
  <si>
    <t>method</t>
  </si>
  <si>
    <t>remarks</t>
  </si>
  <si>
    <t>latitude min</t>
  </si>
  <si>
    <t>latitude deg</t>
  </si>
  <si>
    <t>longitude min</t>
  </si>
  <si>
    <t>longitude deg</t>
  </si>
  <si>
    <t>SN</t>
  </si>
  <si>
    <t>P</t>
  </si>
  <si>
    <t>SD</t>
  </si>
  <si>
    <t>DS</t>
  </si>
  <si>
    <t>R</t>
  </si>
  <si>
    <t>Sunk EC</t>
  </si>
  <si>
    <t>Escort EC; CM EU Miss</t>
  </si>
  <si>
    <t>EC</t>
  </si>
  <si>
    <t>1 AF Sunk; EC</t>
  </si>
  <si>
    <t>EU</t>
  </si>
  <si>
    <t>1 AK Sunk EU</t>
  </si>
  <si>
    <t>1 AK Sunk EC</t>
  </si>
  <si>
    <t>All 3 Sunk EC</t>
  </si>
  <si>
    <t>EM</t>
  </si>
  <si>
    <t>XAM Converted Trawler</t>
  </si>
  <si>
    <t>FUBUKI DD &amp; CM</t>
  </si>
  <si>
    <t>2 Sampans</t>
  </si>
  <si>
    <t>2 AF's; 3 escorts</t>
  </si>
  <si>
    <t>1 Patrol vessel</t>
  </si>
  <si>
    <t>U.S. Sub.</t>
  </si>
  <si>
    <t>U.S. Sub. SNOOK</t>
  </si>
  <si>
    <t>1 AK; 2 escorts</t>
  </si>
  <si>
    <t>2 AK's; 3 escorts</t>
  </si>
  <si>
    <t>1 Patrol vessel; 2 trawlers</t>
  </si>
  <si>
    <t>Periscope or wreckage</t>
  </si>
  <si>
    <t>Mast similar to that of a DD</t>
  </si>
  <si>
    <t>Armed sampan</t>
  </si>
  <si>
    <t>Patrol Vessel</t>
  </si>
  <si>
    <t>C-2 or C-3 Cargo ship</t>
  </si>
  <si>
    <t>Periscope</t>
  </si>
  <si>
    <t>US DD598</t>
  </si>
  <si>
    <t>patrol</t>
  </si>
  <si>
    <t>U.S. DE or DD</t>
  </si>
  <si>
    <t xml:space="preserve">U.S. Sub. </t>
  </si>
  <si>
    <t>U.S. DD CASSIN</t>
  </si>
  <si>
    <t>Hospital Ship</t>
  </si>
  <si>
    <t>U.S. Sub. PICUDA</t>
  </si>
  <si>
    <t>Submarine</t>
  </si>
  <si>
    <t>1 DD, 1 AP &amp; 2 Land Craft</t>
  </si>
  <si>
    <t>Sampan</t>
  </si>
  <si>
    <t>Auxiliary Schooner</t>
  </si>
  <si>
    <t>Fishing Vessel</t>
  </si>
  <si>
    <t>1 DD, 1 AP &amp; 2 LS</t>
  </si>
  <si>
    <t>Two small coastal vessels</t>
  </si>
  <si>
    <t>U.S. Sub. BREAM</t>
  </si>
  <si>
    <t>U.S. Sub CERO</t>
  </si>
  <si>
    <t>1 Fishing Vessel; 1 Freighter</t>
  </si>
  <si>
    <t>1 PT Boat</t>
  </si>
  <si>
    <t>1 Fishing Boat (Motor Boat)</t>
  </si>
  <si>
    <t>Small Steamer</t>
  </si>
  <si>
    <t>Fishing Boat</t>
  </si>
  <si>
    <t>Small Fishing Boat</t>
  </si>
  <si>
    <t>Sailing Boat</t>
  </si>
  <si>
    <t>Sailing Vessel (Fishing)</t>
  </si>
  <si>
    <t>EC Mis</t>
  </si>
  <si>
    <t>SMC EC</t>
  </si>
  <si>
    <t>Mis EU</t>
  </si>
  <si>
    <t>Mis EC</t>
  </si>
  <si>
    <t>latitude hemisphere</t>
  </si>
  <si>
    <t>longitude hemisphere</t>
  </si>
  <si>
    <t>S</t>
  </si>
  <si>
    <t>E</t>
  </si>
  <si>
    <t>N</t>
  </si>
  <si>
    <t>Patrol Boat</t>
  </si>
  <si>
    <t>Sailboat</t>
  </si>
  <si>
    <t>U.S. Sub</t>
  </si>
  <si>
    <t>1 Sea Truck; 1 Mine Sweep</t>
  </si>
  <si>
    <t>Escort Vessel</t>
  </si>
  <si>
    <t>British Sub</t>
  </si>
  <si>
    <t>USS FLOUNDER</t>
  </si>
  <si>
    <t>Did not attack</t>
  </si>
  <si>
    <t>USS CAVALLA</t>
  </si>
  <si>
    <t>11 kts. - Sank target - Turn count 210</t>
  </si>
  <si>
    <t>avoided</t>
  </si>
  <si>
    <t>Probably USS HAKE</t>
  </si>
  <si>
    <t>HMS TRADEWIND</t>
  </si>
  <si>
    <t>HMS SIRDAR</t>
  </si>
  <si>
    <t>British S/M</t>
  </si>
  <si>
    <t>HMS TANTALUS S/M</t>
  </si>
  <si>
    <t>HMS TRADEWIND S/M</t>
  </si>
  <si>
    <t>USS CHAR</t>
  </si>
  <si>
    <t>HNMS ZWAARDVISCH S/M</t>
  </si>
  <si>
    <t>3 small native sail boats</t>
  </si>
  <si>
    <t>Native fishing vessel. PRAU</t>
  </si>
  <si>
    <t>Sea Truck</t>
  </si>
  <si>
    <t>Patrol boat</t>
  </si>
  <si>
    <t>Patrol</t>
  </si>
  <si>
    <t>Small unkown</t>
  </si>
  <si>
    <t>USS BREAM</t>
  </si>
  <si>
    <t>400 ton SMC converted yacht</t>
  </si>
  <si>
    <t>Sailing junks</t>
  </si>
  <si>
    <t>USS BLENNY</t>
  </si>
  <si>
    <t>Jap submarine</t>
  </si>
  <si>
    <t>USS Blenny</t>
  </si>
  <si>
    <t>USS GUAVINA</t>
  </si>
  <si>
    <t>Hashidato class PG</t>
  </si>
  <si>
    <t>PG Type</t>
  </si>
  <si>
    <t>Escorts</t>
  </si>
  <si>
    <t>USS ROCK</t>
  </si>
  <si>
    <t>Schooner</t>
  </si>
  <si>
    <t>Brig</t>
  </si>
  <si>
    <t>USS BLUEGILL</t>
  </si>
  <si>
    <t xml:space="preserve"> </t>
  </si>
  <si>
    <t>USS GUAVIMA</t>
  </si>
  <si>
    <t>HP</t>
  </si>
  <si>
    <t>r</t>
  </si>
  <si>
    <t>Lkt</t>
  </si>
  <si>
    <t>SN Lkt</t>
  </si>
  <si>
    <t>Exch. Calls</t>
  </si>
  <si>
    <t>EC.</t>
  </si>
  <si>
    <t>EC. Sunk</t>
  </si>
  <si>
    <t>EC. Lombok patrol</t>
  </si>
  <si>
    <t>Lombok patrol</t>
  </si>
  <si>
    <t>Usual Lombok patrol</t>
  </si>
  <si>
    <t>Turned away.</t>
  </si>
  <si>
    <t>Surfaced Exch. Signals</t>
  </si>
  <si>
    <t>Torpedo attack No. 1</t>
  </si>
  <si>
    <t>Torpedo attack No. 2</t>
  </si>
  <si>
    <t>Tracked expecting contact with convoy</t>
  </si>
  <si>
    <t>Closed and observed.</t>
  </si>
  <si>
    <t>Exch. Signals</t>
  </si>
  <si>
    <t>Dove &amp; commenced approach</t>
  </si>
  <si>
    <t>Exch. Signals. Closed for conference.</t>
  </si>
  <si>
    <t>Exch. Signals.</t>
  </si>
  <si>
    <t>Closed for conference.</t>
  </si>
  <si>
    <t>Closed for attack.</t>
  </si>
  <si>
    <t>Exch. Recognition.</t>
  </si>
  <si>
    <t>Closed to investigate</t>
  </si>
  <si>
    <t>Commenced approach.</t>
  </si>
  <si>
    <t>Cleared area.</t>
  </si>
  <si>
    <t>Started approach but could not close.</t>
  </si>
  <si>
    <t>Minelayer and Freighter</t>
  </si>
  <si>
    <t>USS HAMMERHEAD</t>
  </si>
  <si>
    <t>HMS SUPREME</t>
  </si>
  <si>
    <t>Junk</t>
  </si>
  <si>
    <t>USS HAWKBILL</t>
  </si>
  <si>
    <t>Fishing craft</t>
  </si>
  <si>
    <t>USS BERGALL</t>
  </si>
  <si>
    <t>USS KRAKEN</t>
  </si>
  <si>
    <t>USS BERGALL and BULLHEAD</t>
  </si>
  <si>
    <t>2 tankers, one probable Freighter</t>
  </si>
  <si>
    <t>USS LAMPREY</t>
  </si>
  <si>
    <t>USS COUCAL</t>
  </si>
  <si>
    <t>SJ</t>
  </si>
  <si>
    <t>Per</t>
  </si>
  <si>
    <t>Hi Per</t>
  </si>
  <si>
    <t>Per Hi</t>
  </si>
  <si>
    <t>Closed to converse.</t>
  </si>
  <si>
    <t>Torpedo Attack No. 1</t>
  </si>
  <si>
    <t>Drew off escort</t>
  </si>
  <si>
    <t>Closed to pick up spares.</t>
  </si>
  <si>
    <t>Evaded.</t>
  </si>
  <si>
    <t>Opened to remain unobserved.</t>
  </si>
  <si>
    <t>Closed for instructions.</t>
  </si>
  <si>
    <t>Received mail.</t>
  </si>
  <si>
    <t>VHF conference</t>
  </si>
  <si>
    <t>Closed to communicate</t>
  </si>
  <si>
    <t>Gun Attack No. 1</t>
  </si>
  <si>
    <t>Dove.</t>
  </si>
  <si>
    <t>Closed to report</t>
  </si>
  <si>
    <t>Closed to inspect.</t>
  </si>
  <si>
    <t>Closed for rendezvous</t>
  </si>
  <si>
    <t>Torpedo Attacks Nos 2,3,4,5</t>
  </si>
  <si>
    <t>Closed to pick up mail</t>
  </si>
  <si>
    <t>Exchanged recognition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</si>
</sst>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CF676-EBDB-4D8D-8710-B47470AAB56F}">
  <dimension ref="A1:Q125"/>
  <sheetViews>
    <sheetView tabSelected="1" topLeftCell="A55" workbookViewId="0">
      <selection activeCell="H65" sqref="H65"/>
    </sheetView>
  </sheetViews>
  <sheetFormatPr defaultRowHeight="14.5" x14ac:dyDescent="0.35"/>
  <cols>
    <col min="3" max="3" width="13.6328125" customWidth="1"/>
    <col min="5" max="5" width="15.1796875" customWidth="1"/>
    <col min="6" max="6" width="10.26953125" bestFit="1" customWidth="1"/>
    <col min="7" max="7" width="10.36328125" bestFit="1" customWidth="1"/>
    <col min="8" max="8" width="10.36328125" customWidth="1"/>
    <col min="9" max="9" width="11.54296875" bestFit="1" customWidth="1"/>
    <col min="10" max="10" width="11.6328125" bestFit="1" customWidth="1"/>
    <col min="11" max="11" width="11.6328125" customWidth="1"/>
    <col min="12" max="12" width="22.7265625" bestFit="1" customWidth="1"/>
    <col min="17" max="17" width="19.1796875" bestFit="1" customWidth="1"/>
  </cols>
  <sheetData>
    <row r="1" spans="1:17" x14ac:dyDescent="0.35">
      <c r="A1" t="s">
        <v>45</v>
      </c>
      <c r="B1" t="s">
        <v>0</v>
      </c>
      <c r="C1" t="s">
        <v>2</v>
      </c>
      <c r="D1" t="s">
        <v>3</v>
      </c>
      <c r="E1" t="s">
        <v>1</v>
      </c>
      <c r="F1" t="s">
        <v>11</v>
      </c>
      <c r="G1" t="s">
        <v>10</v>
      </c>
      <c r="H1" t="s">
        <v>72</v>
      </c>
      <c r="I1" t="s">
        <v>13</v>
      </c>
      <c r="J1" t="s">
        <v>12</v>
      </c>
      <c r="K1" t="s">
        <v>73</v>
      </c>
      <c r="L1" t="s">
        <v>4</v>
      </c>
      <c r="M1" t="s">
        <v>5</v>
      </c>
      <c r="N1" t="s">
        <v>6</v>
      </c>
      <c r="O1" t="s">
        <v>7</v>
      </c>
      <c r="P1" t="s">
        <v>8</v>
      </c>
      <c r="Q1" t="s">
        <v>9</v>
      </c>
    </row>
    <row r="2" spans="1:17" x14ac:dyDescent="0.35">
      <c r="A2">
        <v>1</v>
      </c>
      <c r="B2">
        <v>1</v>
      </c>
      <c r="C2">
        <v>2250</v>
      </c>
      <c r="D2">
        <v>-10</v>
      </c>
      <c r="E2" s="1">
        <v>16259</v>
      </c>
      <c r="F2">
        <v>28</v>
      </c>
      <c r="G2">
        <v>25</v>
      </c>
      <c r="H2" t="s">
        <v>76</v>
      </c>
      <c r="I2">
        <v>151</v>
      </c>
      <c r="J2">
        <v>46</v>
      </c>
      <c r="K2" t="s">
        <v>75</v>
      </c>
      <c r="L2" t="s">
        <v>28</v>
      </c>
      <c r="M2">
        <v>12000</v>
      </c>
      <c r="P2" t="s">
        <v>14</v>
      </c>
      <c r="Q2" t="s">
        <v>19</v>
      </c>
    </row>
    <row r="3" spans="1:17" x14ac:dyDescent="0.35">
      <c r="A3">
        <v>1</v>
      </c>
      <c r="B3">
        <f>B2+1</f>
        <v>2</v>
      </c>
      <c r="C3">
        <v>756</v>
      </c>
      <c r="D3">
        <v>-9</v>
      </c>
      <c r="E3" s="1">
        <v>16262</v>
      </c>
      <c r="F3">
        <v>24</v>
      </c>
      <c r="G3">
        <v>52</v>
      </c>
      <c r="H3" t="s">
        <v>76</v>
      </c>
      <c r="I3">
        <v>141</v>
      </c>
      <c r="J3">
        <v>18</v>
      </c>
      <c r="K3" t="s">
        <v>75</v>
      </c>
      <c r="L3" t="s">
        <v>29</v>
      </c>
      <c r="M3">
        <v>16000</v>
      </c>
      <c r="N3">
        <v>100</v>
      </c>
      <c r="O3">
        <v>19</v>
      </c>
      <c r="P3" t="s">
        <v>15</v>
      </c>
      <c r="Q3" t="s">
        <v>20</v>
      </c>
    </row>
    <row r="4" spans="1:17" x14ac:dyDescent="0.35">
      <c r="A4">
        <v>1</v>
      </c>
      <c r="B4">
        <f t="shared" ref="B4:B21" si="0">B3+1</f>
        <v>3</v>
      </c>
      <c r="C4">
        <v>1207</v>
      </c>
      <c r="D4">
        <v>-9</v>
      </c>
      <c r="E4" s="1">
        <v>16265</v>
      </c>
      <c r="F4">
        <v>27</v>
      </c>
      <c r="G4">
        <v>18</v>
      </c>
      <c r="H4" t="s">
        <v>76</v>
      </c>
      <c r="I4">
        <v>142</v>
      </c>
      <c r="J4">
        <v>5</v>
      </c>
      <c r="K4" t="s">
        <v>75</v>
      </c>
      <c r="L4" t="s">
        <v>30</v>
      </c>
      <c r="M4">
        <v>5000</v>
      </c>
      <c r="N4">
        <v>180</v>
      </c>
      <c r="O4">
        <v>6</v>
      </c>
      <c r="P4" t="s">
        <v>15</v>
      </c>
      <c r="Q4" t="s">
        <v>21</v>
      </c>
    </row>
    <row r="5" spans="1:17" x14ac:dyDescent="0.35">
      <c r="A5">
        <v>1</v>
      </c>
      <c r="B5">
        <f t="shared" si="0"/>
        <v>4</v>
      </c>
      <c r="C5">
        <v>1237</v>
      </c>
      <c r="D5">
        <v>-9</v>
      </c>
      <c r="E5" s="1">
        <v>16265</v>
      </c>
      <c r="F5">
        <v>27</v>
      </c>
      <c r="G5">
        <v>20</v>
      </c>
      <c r="H5" t="s">
        <v>76</v>
      </c>
      <c r="I5">
        <v>142</v>
      </c>
      <c r="J5">
        <v>5</v>
      </c>
      <c r="K5" t="s">
        <v>75</v>
      </c>
      <c r="L5" t="s">
        <v>30</v>
      </c>
      <c r="M5">
        <v>5000</v>
      </c>
      <c r="N5">
        <v>180</v>
      </c>
      <c r="O5">
        <v>5</v>
      </c>
      <c r="P5" t="s">
        <v>15</v>
      </c>
      <c r="Q5" t="s">
        <v>21</v>
      </c>
    </row>
    <row r="6" spans="1:17" x14ac:dyDescent="0.35">
      <c r="A6">
        <v>1</v>
      </c>
      <c r="B6">
        <f t="shared" si="0"/>
        <v>5</v>
      </c>
      <c r="C6">
        <v>559</v>
      </c>
      <c r="D6">
        <v>-9</v>
      </c>
      <c r="E6" s="1">
        <v>16266</v>
      </c>
      <c r="F6">
        <v>27</v>
      </c>
      <c r="G6">
        <v>23</v>
      </c>
      <c r="H6" t="s">
        <v>76</v>
      </c>
      <c r="I6">
        <v>140</v>
      </c>
      <c r="J6">
        <v>33</v>
      </c>
      <c r="K6" t="s">
        <v>75</v>
      </c>
      <c r="L6" t="s">
        <v>31</v>
      </c>
      <c r="M6">
        <v>15000</v>
      </c>
      <c r="N6">
        <v>120</v>
      </c>
      <c r="O6">
        <v>9</v>
      </c>
      <c r="P6" t="s">
        <v>16</v>
      </c>
      <c r="Q6" t="s">
        <v>22</v>
      </c>
    </row>
    <row r="7" spans="1:17" x14ac:dyDescent="0.35">
      <c r="A7">
        <v>1</v>
      </c>
      <c r="B7">
        <f t="shared" si="0"/>
        <v>6</v>
      </c>
      <c r="C7">
        <v>639</v>
      </c>
      <c r="D7">
        <v>-9</v>
      </c>
      <c r="E7" s="1">
        <v>16269</v>
      </c>
      <c r="F7">
        <v>29</v>
      </c>
      <c r="G7">
        <v>28</v>
      </c>
      <c r="H7" t="s">
        <v>76</v>
      </c>
      <c r="I7">
        <v>140</v>
      </c>
      <c r="J7">
        <v>21</v>
      </c>
      <c r="K7" t="s">
        <v>75</v>
      </c>
      <c r="L7" t="s">
        <v>32</v>
      </c>
      <c r="M7">
        <v>20000</v>
      </c>
      <c r="O7">
        <v>5</v>
      </c>
      <c r="P7" t="s">
        <v>17</v>
      </c>
      <c r="Q7" t="s">
        <v>21</v>
      </c>
    </row>
    <row r="8" spans="1:17" x14ac:dyDescent="0.35">
      <c r="A8">
        <v>1</v>
      </c>
      <c r="B8">
        <f t="shared" si="0"/>
        <v>7</v>
      </c>
      <c r="C8">
        <v>2032</v>
      </c>
      <c r="D8">
        <v>-9</v>
      </c>
      <c r="E8" s="1">
        <v>16269</v>
      </c>
      <c r="F8">
        <v>31</v>
      </c>
      <c r="G8">
        <v>39</v>
      </c>
      <c r="H8" t="s">
        <v>76</v>
      </c>
      <c r="I8">
        <v>137</v>
      </c>
      <c r="J8">
        <v>34</v>
      </c>
      <c r="K8" t="s">
        <v>75</v>
      </c>
      <c r="L8" t="s">
        <v>34</v>
      </c>
      <c r="M8">
        <v>7150</v>
      </c>
      <c r="N8">
        <v>330</v>
      </c>
      <c r="O8">
        <v>15</v>
      </c>
      <c r="P8" t="s">
        <v>18</v>
      </c>
      <c r="Q8" t="s">
        <v>21</v>
      </c>
    </row>
    <row r="9" spans="1:17" x14ac:dyDescent="0.35">
      <c r="A9">
        <v>1</v>
      </c>
      <c r="B9">
        <f t="shared" si="0"/>
        <v>8</v>
      </c>
      <c r="C9">
        <v>2110</v>
      </c>
      <c r="D9">
        <v>-9</v>
      </c>
      <c r="E9" s="1">
        <v>16269</v>
      </c>
      <c r="F9">
        <v>31</v>
      </c>
      <c r="G9">
        <v>39</v>
      </c>
      <c r="H9" t="s">
        <v>76</v>
      </c>
      <c r="I9">
        <v>137</v>
      </c>
      <c r="J9">
        <v>45</v>
      </c>
      <c r="K9" t="s">
        <v>75</v>
      </c>
      <c r="L9" t="s">
        <v>33</v>
      </c>
      <c r="M9">
        <v>7950</v>
      </c>
      <c r="P9" t="s">
        <v>18</v>
      </c>
      <c r="Q9" t="s">
        <v>23</v>
      </c>
    </row>
    <row r="10" spans="1:17" x14ac:dyDescent="0.35">
      <c r="A10">
        <v>1</v>
      </c>
      <c r="B10">
        <f t="shared" si="0"/>
        <v>9</v>
      </c>
      <c r="C10">
        <v>404</v>
      </c>
      <c r="D10">
        <v>-9</v>
      </c>
      <c r="E10" s="1">
        <v>16270</v>
      </c>
      <c r="F10">
        <v>31</v>
      </c>
      <c r="G10">
        <v>21</v>
      </c>
      <c r="H10" t="s">
        <v>76</v>
      </c>
      <c r="I10">
        <v>137</v>
      </c>
      <c r="J10">
        <v>45</v>
      </c>
      <c r="K10" t="s">
        <v>75</v>
      </c>
      <c r="L10" t="s">
        <v>33</v>
      </c>
      <c r="M10">
        <v>6700</v>
      </c>
      <c r="N10">
        <v>140</v>
      </c>
      <c r="O10">
        <v>10</v>
      </c>
      <c r="P10" t="s">
        <v>18</v>
      </c>
      <c r="Q10" t="s">
        <v>23</v>
      </c>
    </row>
    <row r="11" spans="1:17" x14ac:dyDescent="0.35">
      <c r="A11">
        <v>1</v>
      </c>
      <c r="B11">
        <f t="shared" si="0"/>
        <v>10</v>
      </c>
      <c r="C11">
        <v>116</v>
      </c>
      <c r="D11">
        <v>-9</v>
      </c>
      <c r="E11" s="1">
        <v>16271</v>
      </c>
      <c r="F11">
        <v>29</v>
      </c>
      <c r="G11">
        <v>12</v>
      </c>
      <c r="H11" t="s">
        <v>76</v>
      </c>
      <c r="I11">
        <v>139</v>
      </c>
      <c r="J11">
        <v>10</v>
      </c>
      <c r="K11" t="s">
        <v>75</v>
      </c>
      <c r="L11" t="s">
        <v>35</v>
      </c>
      <c r="M11">
        <v>11000</v>
      </c>
      <c r="N11">
        <v>210</v>
      </c>
      <c r="O11">
        <v>8</v>
      </c>
      <c r="P11" t="s">
        <v>18</v>
      </c>
      <c r="Q11" t="s">
        <v>24</v>
      </c>
    </row>
    <row r="12" spans="1:17" x14ac:dyDescent="0.35">
      <c r="A12">
        <v>1</v>
      </c>
      <c r="B12">
        <f t="shared" si="0"/>
        <v>11</v>
      </c>
      <c r="C12">
        <v>528</v>
      </c>
      <c r="D12">
        <v>-9</v>
      </c>
      <c r="E12" s="1">
        <v>16271</v>
      </c>
      <c r="F12">
        <v>28</v>
      </c>
      <c r="G12">
        <v>43</v>
      </c>
      <c r="H12" t="s">
        <v>76</v>
      </c>
      <c r="I12">
        <v>139</v>
      </c>
      <c r="J12">
        <v>24</v>
      </c>
      <c r="K12" t="s">
        <v>75</v>
      </c>
      <c r="L12" t="s">
        <v>36</v>
      </c>
      <c r="M12">
        <v>14000</v>
      </c>
      <c r="N12">
        <v>150</v>
      </c>
      <c r="O12">
        <v>8</v>
      </c>
      <c r="P12" t="s">
        <v>16</v>
      </c>
      <c r="Q12" t="s">
        <v>25</v>
      </c>
    </row>
    <row r="13" spans="1:17" x14ac:dyDescent="0.35">
      <c r="A13">
        <v>1</v>
      </c>
      <c r="B13">
        <f t="shared" si="0"/>
        <v>12</v>
      </c>
      <c r="C13">
        <v>1942</v>
      </c>
      <c r="D13">
        <v>-9</v>
      </c>
      <c r="E13" s="1">
        <v>16273</v>
      </c>
      <c r="F13">
        <v>27</v>
      </c>
      <c r="G13">
        <v>54</v>
      </c>
      <c r="H13" t="s">
        <v>76</v>
      </c>
      <c r="I13">
        <v>141</v>
      </c>
      <c r="J13">
        <v>46</v>
      </c>
      <c r="K13" t="s">
        <v>75</v>
      </c>
      <c r="L13" t="s">
        <v>37</v>
      </c>
      <c r="M13">
        <v>8500</v>
      </c>
      <c r="N13">
        <v>322</v>
      </c>
      <c r="O13">
        <v>5.5</v>
      </c>
      <c r="P13" t="s">
        <v>18</v>
      </c>
      <c r="Q13" t="s">
        <v>26</v>
      </c>
    </row>
    <row r="14" spans="1:17" x14ac:dyDescent="0.35">
      <c r="A14">
        <v>1</v>
      </c>
      <c r="B14">
        <f t="shared" si="0"/>
        <v>13</v>
      </c>
      <c r="C14">
        <v>1154</v>
      </c>
      <c r="D14">
        <v>-9</v>
      </c>
      <c r="E14" s="1">
        <v>16275</v>
      </c>
      <c r="F14">
        <v>28</v>
      </c>
      <c r="G14">
        <v>32</v>
      </c>
      <c r="H14" t="s">
        <v>76</v>
      </c>
      <c r="I14">
        <v>141</v>
      </c>
      <c r="J14">
        <v>50</v>
      </c>
      <c r="K14" t="s">
        <v>75</v>
      </c>
      <c r="L14" t="s">
        <v>38</v>
      </c>
      <c r="M14">
        <v>3000</v>
      </c>
      <c r="P14" t="s">
        <v>16</v>
      </c>
      <c r="Q14" t="s">
        <v>23</v>
      </c>
    </row>
    <row r="15" spans="1:17" x14ac:dyDescent="0.35">
      <c r="A15">
        <v>1</v>
      </c>
      <c r="B15">
        <f t="shared" si="0"/>
        <v>14</v>
      </c>
      <c r="C15">
        <v>1340</v>
      </c>
      <c r="D15">
        <v>-9</v>
      </c>
      <c r="E15" s="1">
        <v>16279</v>
      </c>
      <c r="F15">
        <v>27</v>
      </c>
      <c r="G15">
        <v>24</v>
      </c>
      <c r="H15" t="s">
        <v>76</v>
      </c>
      <c r="I15">
        <v>142</v>
      </c>
      <c r="J15">
        <v>13</v>
      </c>
      <c r="K15" t="s">
        <v>75</v>
      </c>
      <c r="L15" t="s">
        <v>39</v>
      </c>
      <c r="M15">
        <v>15000</v>
      </c>
      <c r="N15">
        <v>150</v>
      </c>
      <c r="O15">
        <v>20</v>
      </c>
      <c r="P15" t="s">
        <v>15</v>
      </c>
      <c r="Q15" t="s">
        <v>23</v>
      </c>
    </row>
    <row r="16" spans="1:17" x14ac:dyDescent="0.35">
      <c r="A16">
        <v>1</v>
      </c>
      <c r="B16">
        <f t="shared" si="0"/>
        <v>15</v>
      </c>
      <c r="C16">
        <v>1506</v>
      </c>
      <c r="D16">
        <v>-9</v>
      </c>
      <c r="E16" s="1">
        <v>16279</v>
      </c>
      <c r="F16">
        <v>27</v>
      </c>
      <c r="G16">
        <v>20</v>
      </c>
      <c r="H16" t="s">
        <v>76</v>
      </c>
      <c r="I16">
        <v>142</v>
      </c>
      <c r="J16">
        <v>9</v>
      </c>
      <c r="K16" t="s">
        <v>75</v>
      </c>
      <c r="L16" t="s">
        <v>40</v>
      </c>
      <c r="M16">
        <v>6000</v>
      </c>
      <c r="N16">
        <v>180</v>
      </c>
      <c r="O16">
        <v>10</v>
      </c>
      <c r="P16" t="s">
        <v>15</v>
      </c>
      <c r="Q16" t="s">
        <v>21</v>
      </c>
    </row>
    <row r="17" spans="1:17" x14ac:dyDescent="0.35">
      <c r="A17">
        <v>1</v>
      </c>
      <c r="B17">
        <f t="shared" si="0"/>
        <v>16</v>
      </c>
      <c r="C17">
        <v>1943</v>
      </c>
      <c r="D17">
        <v>-9</v>
      </c>
      <c r="E17" s="1">
        <v>16279</v>
      </c>
      <c r="F17">
        <v>27</v>
      </c>
      <c r="G17">
        <v>26</v>
      </c>
      <c r="H17" t="s">
        <v>76</v>
      </c>
      <c r="I17">
        <v>142</v>
      </c>
      <c r="J17">
        <v>8</v>
      </c>
      <c r="K17" t="s">
        <v>75</v>
      </c>
      <c r="L17" t="s">
        <v>41</v>
      </c>
      <c r="M17">
        <v>8000</v>
      </c>
      <c r="N17">
        <v>215</v>
      </c>
      <c r="O17">
        <v>8</v>
      </c>
      <c r="P17" t="s">
        <v>18</v>
      </c>
      <c r="Q17" t="s">
        <v>23</v>
      </c>
    </row>
    <row r="18" spans="1:17" x14ac:dyDescent="0.35">
      <c r="A18">
        <v>1</v>
      </c>
      <c r="B18">
        <f t="shared" si="0"/>
        <v>17</v>
      </c>
      <c r="C18">
        <v>445</v>
      </c>
      <c r="D18">
        <v>-9</v>
      </c>
      <c r="E18" s="1">
        <v>16289</v>
      </c>
      <c r="F18">
        <v>27</v>
      </c>
      <c r="G18">
        <v>40</v>
      </c>
      <c r="H18" t="s">
        <v>76</v>
      </c>
      <c r="I18">
        <v>142</v>
      </c>
      <c r="J18">
        <v>28</v>
      </c>
      <c r="K18" t="s">
        <v>75</v>
      </c>
      <c r="L18" t="s">
        <v>41</v>
      </c>
      <c r="M18">
        <v>12000</v>
      </c>
      <c r="N18">
        <v>205</v>
      </c>
      <c r="O18">
        <v>8.5</v>
      </c>
      <c r="P18" t="s">
        <v>16</v>
      </c>
      <c r="Q18" t="s">
        <v>19</v>
      </c>
    </row>
    <row r="19" spans="1:17" x14ac:dyDescent="0.35">
      <c r="A19">
        <v>1</v>
      </c>
      <c r="B19">
        <f t="shared" si="0"/>
        <v>18</v>
      </c>
      <c r="C19">
        <v>550</v>
      </c>
      <c r="D19">
        <v>-11</v>
      </c>
      <c r="E19" s="1">
        <v>16297</v>
      </c>
      <c r="F19">
        <v>13</v>
      </c>
      <c r="G19">
        <v>33</v>
      </c>
      <c r="H19" t="s">
        <v>76</v>
      </c>
      <c r="I19">
        <v>170</v>
      </c>
      <c r="J19">
        <v>28</v>
      </c>
      <c r="K19" t="s">
        <v>75</v>
      </c>
      <c r="L19" t="s">
        <v>42</v>
      </c>
      <c r="M19">
        <v>22000</v>
      </c>
      <c r="N19">
        <v>130</v>
      </c>
      <c r="O19">
        <v>13</v>
      </c>
      <c r="P19" t="s">
        <v>16</v>
      </c>
      <c r="Q19" t="s">
        <v>27</v>
      </c>
    </row>
    <row r="20" spans="1:17" x14ac:dyDescent="0.35">
      <c r="A20">
        <v>1</v>
      </c>
      <c r="B20">
        <f t="shared" si="0"/>
        <v>19</v>
      </c>
      <c r="C20">
        <v>1800</v>
      </c>
      <c r="D20">
        <v>-11</v>
      </c>
      <c r="E20" s="1">
        <v>16297</v>
      </c>
      <c r="F20">
        <v>11</v>
      </c>
      <c r="G20">
        <v>2</v>
      </c>
      <c r="H20" t="s">
        <v>76</v>
      </c>
      <c r="I20">
        <v>170</v>
      </c>
      <c r="J20">
        <v>35</v>
      </c>
      <c r="K20" t="s">
        <v>75</v>
      </c>
      <c r="L20" t="s">
        <v>43</v>
      </c>
      <c r="M20">
        <v>3000</v>
      </c>
      <c r="P20" t="s">
        <v>16</v>
      </c>
      <c r="Q20" t="s">
        <v>21</v>
      </c>
    </row>
    <row r="21" spans="1:17" x14ac:dyDescent="0.35">
      <c r="A21">
        <v>1</v>
      </c>
      <c r="B21">
        <f t="shared" si="0"/>
        <v>20</v>
      </c>
      <c r="C21">
        <v>525</v>
      </c>
      <c r="D21">
        <v>-11</v>
      </c>
      <c r="E21" s="1">
        <v>16298</v>
      </c>
      <c r="F21">
        <v>8</v>
      </c>
      <c r="G21">
        <v>32</v>
      </c>
      <c r="H21" t="s">
        <v>76</v>
      </c>
      <c r="I21">
        <v>170</v>
      </c>
      <c r="J21">
        <v>32</v>
      </c>
      <c r="K21" t="s">
        <v>75</v>
      </c>
      <c r="L21" t="s">
        <v>44</v>
      </c>
      <c r="M21">
        <v>20000</v>
      </c>
      <c r="N21">
        <v>320</v>
      </c>
      <c r="O21">
        <v>15</v>
      </c>
      <c r="P21" t="s">
        <v>16</v>
      </c>
      <c r="Q21" t="s">
        <v>21</v>
      </c>
    </row>
    <row r="22" spans="1:17" x14ac:dyDescent="0.35">
      <c r="A22">
        <v>2</v>
      </c>
      <c r="B22">
        <v>1</v>
      </c>
      <c r="C22">
        <v>425</v>
      </c>
      <c r="D22">
        <v>-11</v>
      </c>
      <c r="E22" s="1">
        <v>16322</v>
      </c>
      <c r="F22">
        <v>11</v>
      </c>
      <c r="G22">
        <v>17</v>
      </c>
      <c r="H22" t="s">
        <v>76</v>
      </c>
      <c r="I22">
        <v>170</v>
      </c>
      <c r="J22">
        <v>32</v>
      </c>
      <c r="K22" t="s">
        <v>75</v>
      </c>
      <c r="L22" t="s">
        <v>46</v>
      </c>
      <c r="M22">
        <v>23000</v>
      </c>
      <c r="N22">
        <v>240</v>
      </c>
      <c r="O22">
        <v>16</v>
      </c>
      <c r="P22" t="s">
        <v>18</v>
      </c>
      <c r="Q22" t="s">
        <v>21</v>
      </c>
    </row>
    <row r="23" spans="1:17" x14ac:dyDescent="0.35">
      <c r="A23">
        <v>2</v>
      </c>
      <c r="B23">
        <f>B22+1</f>
        <v>2</v>
      </c>
      <c r="C23">
        <v>1206</v>
      </c>
      <c r="D23">
        <v>-11</v>
      </c>
      <c r="E23" s="1">
        <v>16322</v>
      </c>
      <c r="F23">
        <v>12</v>
      </c>
      <c r="G23">
        <v>46</v>
      </c>
      <c r="H23" t="s">
        <v>76</v>
      </c>
      <c r="I23">
        <v>170</v>
      </c>
      <c r="J23">
        <v>36</v>
      </c>
      <c r="K23" t="s">
        <v>75</v>
      </c>
      <c r="L23" t="s">
        <v>47</v>
      </c>
      <c r="M23">
        <v>30000</v>
      </c>
      <c r="N23">
        <v>180</v>
      </c>
      <c r="O23">
        <v>15</v>
      </c>
      <c r="P23" t="s">
        <v>15</v>
      </c>
      <c r="Q23" t="s">
        <v>21</v>
      </c>
    </row>
    <row r="24" spans="1:17" x14ac:dyDescent="0.35">
      <c r="A24">
        <v>2</v>
      </c>
      <c r="B24">
        <f t="shared" ref="B24:B47" si="1">B23+1</f>
        <v>3</v>
      </c>
      <c r="C24">
        <v>534</v>
      </c>
      <c r="D24">
        <v>-10</v>
      </c>
      <c r="E24" s="1">
        <v>16328</v>
      </c>
      <c r="F24">
        <v>16</v>
      </c>
      <c r="G24">
        <v>7</v>
      </c>
      <c r="H24" t="s">
        <v>76</v>
      </c>
      <c r="I24">
        <v>145</v>
      </c>
      <c r="J24">
        <v>7</v>
      </c>
      <c r="K24" t="s">
        <v>75</v>
      </c>
      <c r="L24" t="s">
        <v>48</v>
      </c>
      <c r="M24">
        <v>15000</v>
      </c>
      <c r="N24">
        <v>75</v>
      </c>
      <c r="O24">
        <v>15</v>
      </c>
      <c r="P24" t="s">
        <v>16</v>
      </c>
      <c r="Q24" t="s">
        <v>21</v>
      </c>
    </row>
    <row r="25" spans="1:17" x14ac:dyDescent="0.35">
      <c r="A25">
        <v>2</v>
      </c>
      <c r="B25">
        <f t="shared" si="1"/>
        <v>4</v>
      </c>
      <c r="C25">
        <v>928</v>
      </c>
      <c r="D25">
        <v>-10</v>
      </c>
      <c r="E25" s="1">
        <v>16328</v>
      </c>
      <c r="F25">
        <v>15</v>
      </c>
      <c r="G25">
        <v>39</v>
      </c>
      <c r="H25" t="s">
        <v>76</v>
      </c>
      <c r="I25">
        <v>145</v>
      </c>
      <c r="J25">
        <v>22</v>
      </c>
      <c r="K25" t="s">
        <v>75</v>
      </c>
      <c r="L25" t="s">
        <v>43</v>
      </c>
      <c r="M25">
        <v>4000</v>
      </c>
      <c r="P25" t="s">
        <v>16</v>
      </c>
      <c r="Q25" t="s">
        <v>23</v>
      </c>
    </row>
    <row r="26" spans="1:17" x14ac:dyDescent="0.35">
      <c r="A26">
        <v>2</v>
      </c>
      <c r="B26">
        <f t="shared" si="1"/>
        <v>5</v>
      </c>
      <c r="C26">
        <v>310</v>
      </c>
      <c r="D26">
        <v>-9</v>
      </c>
      <c r="E26" s="1">
        <v>16335</v>
      </c>
      <c r="F26">
        <v>20</v>
      </c>
      <c r="G26">
        <v>51</v>
      </c>
      <c r="H26" t="s">
        <v>76</v>
      </c>
      <c r="I26">
        <v>123</v>
      </c>
      <c r="J26">
        <v>34</v>
      </c>
      <c r="K26" t="s">
        <v>75</v>
      </c>
      <c r="L26" t="s">
        <v>49</v>
      </c>
      <c r="M26">
        <v>37000</v>
      </c>
      <c r="N26">
        <v>240</v>
      </c>
      <c r="O26">
        <v>14</v>
      </c>
      <c r="P26" t="s">
        <v>14</v>
      </c>
      <c r="Q26" t="s">
        <v>21</v>
      </c>
    </row>
    <row r="27" spans="1:17" x14ac:dyDescent="0.35">
      <c r="A27">
        <v>2</v>
      </c>
      <c r="B27">
        <f t="shared" si="1"/>
        <v>6</v>
      </c>
      <c r="C27">
        <v>2055</v>
      </c>
      <c r="D27">
        <v>-9</v>
      </c>
      <c r="E27" s="1">
        <v>16335</v>
      </c>
      <c r="F27">
        <v>20</v>
      </c>
      <c r="G27">
        <v>0</v>
      </c>
      <c r="H27" t="s">
        <v>76</v>
      </c>
      <c r="I27">
        <v>121</v>
      </c>
      <c r="J27">
        <v>14</v>
      </c>
      <c r="K27" t="s">
        <v>75</v>
      </c>
      <c r="L27" t="s">
        <v>50</v>
      </c>
      <c r="M27">
        <v>8900</v>
      </c>
      <c r="N27">
        <v>95</v>
      </c>
      <c r="O27">
        <v>14</v>
      </c>
      <c r="P27" t="s">
        <v>18</v>
      </c>
      <c r="Q27" t="s">
        <v>21</v>
      </c>
    </row>
    <row r="28" spans="1:17" x14ac:dyDescent="0.35">
      <c r="A28">
        <v>2</v>
      </c>
      <c r="B28">
        <f t="shared" si="1"/>
        <v>7</v>
      </c>
      <c r="C28">
        <v>2245</v>
      </c>
      <c r="D28">
        <v>-9</v>
      </c>
      <c r="E28" s="1">
        <v>16341</v>
      </c>
      <c r="F28">
        <v>18</v>
      </c>
      <c r="G28">
        <v>39</v>
      </c>
      <c r="H28" t="s">
        <v>76</v>
      </c>
      <c r="I28">
        <v>112</v>
      </c>
      <c r="J28">
        <v>37</v>
      </c>
      <c r="K28" t="s">
        <v>75</v>
      </c>
      <c r="L28" t="s">
        <v>51</v>
      </c>
      <c r="M28">
        <v>6350</v>
      </c>
      <c r="N28">
        <v>55</v>
      </c>
      <c r="O28">
        <v>9</v>
      </c>
      <c r="P28" t="s">
        <v>18</v>
      </c>
      <c r="Q28" t="s">
        <v>21</v>
      </c>
    </row>
    <row r="29" spans="1:17" x14ac:dyDescent="0.35">
      <c r="A29">
        <v>2</v>
      </c>
      <c r="B29">
        <f t="shared" si="1"/>
        <v>8</v>
      </c>
      <c r="C29">
        <v>1216</v>
      </c>
      <c r="D29">
        <v>-9</v>
      </c>
      <c r="E29" s="1">
        <v>16355</v>
      </c>
      <c r="F29">
        <v>21</v>
      </c>
      <c r="G29">
        <v>16</v>
      </c>
      <c r="H29" t="s">
        <v>76</v>
      </c>
      <c r="I29">
        <v>121</v>
      </c>
      <c r="J29">
        <v>29</v>
      </c>
      <c r="K29" t="s">
        <v>75</v>
      </c>
      <c r="L29" t="s">
        <v>52</v>
      </c>
      <c r="M29">
        <v>11600</v>
      </c>
      <c r="N29">
        <v>170</v>
      </c>
      <c r="O29">
        <v>12</v>
      </c>
      <c r="P29" t="s">
        <v>15</v>
      </c>
      <c r="Q29" t="s">
        <v>21</v>
      </c>
    </row>
    <row r="30" spans="1:17" x14ac:dyDescent="0.35">
      <c r="A30">
        <v>2</v>
      </c>
      <c r="B30">
        <f t="shared" si="1"/>
        <v>9</v>
      </c>
      <c r="C30">
        <v>812</v>
      </c>
      <c r="D30">
        <v>-9</v>
      </c>
      <c r="E30" s="1">
        <v>16358</v>
      </c>
      <c r="F30">
        <v>18</v>
      </c>
      <c r="G30">
        <v>32</v>
      </c>
      <c r="H30" t="s">
        <v>76</v>
      </c>
      <c r="I30">
        <v>120</v>
      </c>
      <c r="J30">
        <v>34</v>
      </c>
      <c r="K30" t="s">
        <v>75</v>
      </c>
      <c r="L30" t="s">
        <v>53</v>
      </c>
      <c r="M30">
        <v>10000</v>
      </c>
      <c r="N30">
        <v>32</v>
      </c>
      <c r="P30" t="s">
        <v>15</v>
      </c>
      <c r="Q30" t="s">
        <v>68</v>
      </c>
    </row>
    <row r="31" spans="1:17" x14ac:dyDescent="0.35">
      <c r="A31">
        <v>2</v>
      </c>
      <c r="B31">
        <f t="shared" si="1"/>
        <v>10</v>
      </c>
      <c r="C31">
        <v>500</v>
      </c>
      <c r="D31">
        <v>-9</v>
      </c>
      <c r="E31" s="1">
        <v>16360</v>
      </c>
      <c r="F31">
        <v>18</v>
      </c>
      <c r="G31">
        <v>35</v>
      </c>
      <c r="H31" t="s">
        <v>76</v>
      </c>
      <c r="I31">
        <v>120</v>
      </c>
      <c r="J31">
        <v>34</v>
      </c>
      <c r="K31" t="s">
        <v>75</v>
      </c>
      <c r="L31" t="s">
        <v>54</v>
      </c>
      <c r="M31">
        <v>12000</v>
      </c>
      <c r="N31">
        <v>80</v>
      </c>
      <c r="O31">
        <v>8</v>
      </c>
      <c r="P31" t="s">
        <v>18</v>
      </c>
      <c r="Q31" t="s">
        <v>68</v>
      </c>
    </row>
    <row r="32" spans="1:17" x14ac:dyDescent="0.35">
      <c r="A32">
        <v>2</v>
      </c>
      <c r="B32">
        <f t="shared" si="1"/>
        <v>11</v>
      </c>
      <c r="C32">
        <v>722</v>
      </c>
      <c r="D32">
        <v>-9</v>
      </c>
      <c r="E32" s="1">
        <v>16361</v>
      </c>
      <c r="F32">
        <v>18</v>
      </c>
      <c r="G32">
        <v>38</v>
      </c>
      <c r="H32" t="s">
        <v>76</v>
      </c>
      <c r="I32">
        <v>120</v>
      </c>
      <c r="J32">
        <v>52</v>
      </c>
      <c r="K32" t="s">
        <v>75</v>
      </c>
      <c r="L32" t="s">
        <v>55</v>
      </c>
      <c r="M32">
        <v>13000</v>
      </c>
      <c r="N32">
        <v>45</v>
      </c>
      <c r="O32">
        <v>7</v>
      </c>
      <c r="P32" t="s">
        <v>15</v>
      </c>
      <c r="Q32" t="s">
        <v>68</v>
      </c>
    </row>
    <row r="33" spans="1:17" x14ac:dyDescent="0.35">
      <c r="A33">
        <v>2</v>
      </c>
      <c r="B33">
        <f t="shared" si="1"/>
        <v>12</v>
      </c>
      <c r="C33">
        <v>1223</v>
      </c>
      <c r="D33">
        <v>-9</v>
      </c>
      <c r="E33" s="1">
        <v>16361</v>
      </c>
      <c r="F33">
        <v>18</v>
      </c>
      <c r="G33">
        <v>41</v>
      </c>
      <c r="H33" t="s">
        <v>76</v>
      </c>
      <c r="I33">
        <v>120</v>
      </c>
      <c r="J33">
        <v>52</v>
      </c>
      <c r="K33" t="s">
        <v>75</v>
      </c>
      <c r="L33" t="s">
        <v>56</v>
      </c>
      <c r="M33">
        <v>12500</v>
      </c>
      <c r="N33">
        <v>220</v>
      </c>
      <c r="O33">
        <v>7</v>
      </c>
      <c r="P33" t="s">
        <v>15</v>
      </c>
      <c r="Q33" t="s">
        <v>21</v>
      </c>
    </row>
    <row r="34" spans="1:17" x14ac:dyDescent="0.35">
      <c r="A34">
        <v>2</v>
      </c>
      <c r="B34">
        <f t="shared" si="1"/>
        <v>13</v>
      </c>
      <c r="C34">
        <v>1704</v>
      </c>
      <c r="D34">
        <v>-9</v>
      </c>
      <c r="E34" s="1">
        <v>16367</v>
      </c>
      <c r="F34">
        <v>13</v>
      </c>
      <c r="G34">
        <v>50</v>
      </c>
      <c r="H34" t="s">
        <v>76</v>
      </c>
      <c r="I34">
        <v>119</v>
      </c>
      <c r="J34">
        <v>27</v>
      </c>
      <c r="K34" t="s">
        <v>75</v>
      </c>
      <c r="L34" t="s">
        <v>57</v>
      </c>
      <c r="M34">
        <v>22000</v>
      </c>
      <c r="N34">
        <v>315</v>
      </c>
      <c r="P34" t="s">
        <v>15</v>
      </c>
      <c r="Q34" t="s">
        <v>23</v>
      </c>
    </row>
    <row r="35" spans="1:17" x14ac:dyDescent="0.35">
      <c r="A35">
        <v>2</v>
      </c>
      <c r="B35">
        <f t="shared" si="1"/>
        <v>14</v>
      </c>
      <c r="C35">
        <v>2045</v>
      </c>
      <c r="D35">
        <v>-9</v>
      </c>
      <c r="E35" s="1">
        <v>16367</v>
      </c>
      <c r="F35">
        <v>13</v>
      </c>
      <c r="G35">
        <v>26</v>
      </c>
      <c r="H35" t="s">
        <v>76</v>
      </c>
      <c r="I35">
        <v>119</v>
      </c>
      <c r="J35">
        <v>44</v>
      </c>
      <c r="K35" t="s">
        <v>75</v>
      </c>
      <c r="L35" t="s">
        <v>58</v>
      </c>
      <c r="P35" t="s">
        <v>18</v>
      </c>
      <c r="Q35" t="s">
        <v>21</v>
      </c>
    </row>
    <row r="36" spans="1:17" x14ac:dyDescent="0.35">
      <c r="A36">
        <v>2</v>
      </c>
      <c r="B36">
        <f t="shared" si="1"/>
        <v>15</v>
      </c>
      <c r="C36">
        <v>154</v>
      </c>
      <c r="D36">
        <v>-9</v>
      </c>
      <c r="E36" s="1">
        <v>16368</v>
      </c>
      <c r="F36">
        <v>12</v>
      </c>
      <c r="G36">
        <v>32</v>
      </c>
      <c r="H36" t="s">
        <v>76</v>
      </c>
      <c r="I36">
        <v>120</v>
      </c>
      <c r="J36">
        <v>41</v>
      </c>
      <c r="K36" t="s">
        <v>75</v>
      </c>
      <c r="L36" t="s">
        <v>33</v>
      </c>
      <c r="P36" t="s">
        <v>18</v>
      </c>
      <c r="Q36" t="s">
        <v>21</v>
      </c>
    </row>
    <row r="37" spans="1:17" x14ac:dyDescent="0.35">
      <c r="A37">
        <v>2</v>
      </c>
      <c r="B37">
        <f t="shared" si="1"/>
        <v>16</v>
      </c>
      <c r="C37">
        <v>356</v>
      </c>
      <c r="D37">
        <v>-9</v>
      </c>
      <c r="E37" s="1">
        <v>16368</v>
      </c>
      <c r="F37">
        <v>12</v>
      </c>
      <c r="G37">
        <v>0</v>
      </c>
      <c r="H37" t="s">
        <v>76</v>
      </c>
      <c r="I37">
        <v>120</v>
      </c>
      <c r="J37">
        <v>56</v>
      </c>
      <c r="K37" t="s">
        <v>75</v>
      </c>
      <c r="L37" t="s">
        <v>59</v>
      </c>
      <c r="P37" t="s">
        <v>18</v>
      </c>
      <c r="Q37" t="s">
        <v>21</v>
      </c>
    </row>
    <row r="38" spans="1:17" x14ac:dyDescent="0.35">
      <c r="A38">
        <v>2</v>
      </c>
      <c r="B38">
        <f t="shared" si="1"/>
        <v>17</v>
      </c>
      <c r="C38">
        <v>658</v>
      </c>
      <c r="D38">
        <v>-9</v>
      </c>
      <c r="E38" s="1">
        <v>16369</v>
      </c>
      <c r="F38">
        <v>4</v>
      </c>
      <c r="G38">
        <v>1</v>
      </c>
      <c r="H38" t="s">
        <v>76</v>
      </c>
      <c r="I38">
        <v>118</v>
      </c>
      <c r="J38">
        <v>7</v>
      </c>
      <c r="K38" t="s">
        <v>75</v>
      </c>
      <c r="L38" t="s">
        <v>60</v>
      </c>
      <c r="M38">
        <v>20000</v>
      </c>
      <c r="N38">
        <v>87</v>
      </c>
      <c r="O38">
        <v>5</v>
      </c>
      <c r="P38" t="s">
        <v>15</v>
      </c>
      <c r="Q38" t="s">
        <v>23</v>
      </c>
    </row>
    <row r="39" spans="1:17" x14ac:dyDescent="0.35">
      <c r="A39">
        <v>2</v>
      </c>
      <c r="B39">
        <f t="shared" si="1"/>
        <v>18</v>
      </c>
      <c r="C39">
        <v>2045</v>
      </c>
      <c r="D39">
        <v>-9</v>
      </c>
      <c r="E39" s="1">
        <v>16369</v>
      </c>
      <c r="F39">
        <v>4</v>
      </c>
      <c r="G39">
        <v>54</v>
      </c>
      <c r="H39" t="s">
        <v>76</v>
      </c>
      <c r="I39">
        <v>119</v>
      </c>
      <c r="J39">
        <v>38</v>
      </c>
      <c r="K39" t="s">
        <v>75</v>
      </c>
      <c r="L39" t="s">
        <v>61</v>
      </c>
      <c r="M39">
        <v>12000</v>
      </c>
      <c r="N39">
        <v>320</v>
      </c>
      <c r="O39">
        <v>18</v>
      </c>
      <c r="P39" t="s">
        <v>14</v>
      </c>
      <c r="Q39" t="s">
        <v>69</v>
      </c>
    </row>
    <row r="40" spans="1:17" x14ac:dyDescent="0.35">
      <c r="A40">
        <v>2</v>
      </c>
      <c r="B40">
        <f t="shared" si="1"/>
        <v>19</v>
      </c>
      <c r="C40">
        <v>2132</v>
      </c>
      <c r="D40">
        <v>-9</v>
      </c>
      <c r="E40" s="1">
        <v>16369</v>
      </c>
      <c r="F40">
        <v>4</v>
      </c>
      <c r="G40">
        <v>40</v>
      </c>
      <c r="H40" t="s">
        <v>76</v>
      </c>
      <c r="I40">
        <v>119</v>
      </c>
      <c r="J40">
        <v>46</v>
      </c>
      <c r="K40" t="s">
        <v>75</v>
      </c>
      <c r="L40" t="s">
        <v>61</v>
      </c>
      <c r="M40">
        <v>9000</v>
      </c>
      <c r="N40">
        <v>270</v>
      </c>
      <c r="O40">
        <v>5</v>
      </c>
      <c r="P40" t="s">
        <v>14</v>
      </c>
      <c r="Q40" t="s">
        <v>69</v>
      </c>
    </row>
    <row r="41" spans="1:17" x14ac:dyDescent="0.35">
      <c r="A41">
        <v>2</v>
      </c>
      <c r="B41">
        <f t="shared" si="1"/>
        <v>20</v>
      </c>
      <c r="C41">
        <v>1125</v>
      </c>
      <c r="D41">
        <v>-9</v>
      </c>
      <c r="E41" s="1">
        <v>16370</v>
      </c>
      <c r="F41">
        <v>3</v>
      </c>
      <c r="G41">
        <v>56</v>
      </c>
      <c r="H41" t="s">
        <v>76</v>
      </c>
      <c r="I41">
        <v>118</v>
      </c>
      <c r="J41">
        <v>7</v>
      </c>
      <c r="K41" t="s">
        <v>75</v>
      </c>
      <c r="L41" t="s">
        <v>62</v>
      </c>
      <c r="M41">
        <v>13000</v>
      </c>
      <c r="P41" t="s">
        <v>15</v>
      </c>
      <c r="Q41" t="s">
        <v>70</v>
      </c>
    </row>
    <row r="42" spans="1:17" x14ac:dyDescent="0.35">
      <c r="A42">
        <v>2</v>
      </c>
      <c r="B42">
        <f t="shared" si="1"/>
        <v>21</v>
      </c>
      <c r="C42">
        <v>1308</v>
      </c>
      <c r="D42">
        <v>-9</v>
      </c>
      <c r="E42" s="1">
        <v>16370</v>
      </c>
      <c r="F42">
        <v>3</v>
      </c>
      <c r="G42">
        <v>53</v>
      </c>
      <c r="H42" t="s">
        <v>76</v>
      </c>
      <c r="I42">
        <v>118</v>
      </c>
      <c r="J42">
        <v>6</v>
      </c>
      <c r="K42" t="s">
        <v>75</v>
      </c>
      <c r="L42" t="s">
        <v>63</v>
      </c>
      <c r="M42">
        <v>15000</v>
      </c>
      <c r="N42">
        <v>0</v>
      </c>
      <c r="P42" t="s">
        <v>15</v>
      </c>
      <c r="Q42" t="s">
        <v>23</v>
      </c>
    </row>
    <row r="43" spans="1:17" x14ac:dyDescent="0.35">
      <c r="A43">
        <v>2</v>
      </c>
      <c r="B43">
        <f t="shared" si="1"/>
        <v>22</v>
      </c>
      <c r="C43">
        <v>1420</v>
      </c>
      <c r="D43">
        <v>-9</v>
      </c>
      <c r="E43" s="1">
        <v>16370</v>
      </c>
      <c r="F43">
        <v>3</v>
      </c>
      <c r="G43">
        <v>49</v>
      </c>
      <c r="H43" t="s">
        <v>76</v>
      </c>
      <c r="I43">
        <v>118</v>
      </c>
      <c r="J43">
        <v>40</v>
      </c>
      <c r="K43" t="s">
        <v>75</v>
      </c>
      <c r="L43" t="s">
        <v>64</v>
      </c>
      <c r="P43" t="s">
        <v>15</v>
      </c>
      <c r="Q43" t="s">
        <v>70</v>
      </c>
    </row>
    <row r="44" spans="1:17" x14ac:dyDescent="0.35">
      <c r="A44">
        <v>2</v>
      </c>
      <c r="B44">
        <f t="shared" si="1"/>
        <v>23</v>
      </c>
      <c r="C44">
        <v>1634</v>
      </c>
      <c r="D44">
        <v>-9</v>
      </c>
      <c r="E44" s="1">
        <v>16371</v>
      </c>
      <c r="F44">
        <v>2</v>
      </c>
      <c r="G44">
        <v>35</v>
      </c>
      <c r="H44" t="s">
        <v>76</v>
      </c>
      <c r="I44">
        <v>118</v>
      </c>
      <c r="J44">
        <v>15</v>
      </c>
      <c r="K44" t="s">
        <v>75</v>
      </c>
      <c r="L44" t="s">
        <v>65</v>
      </c>
      <c r="M44">
        <v>8000</v>
      </c>
      <c r="P44" t="s">
        <v>15</v>
      </c>
      <c r="Q44" t="s">
        <v>71</v>
      </c>
    </row>
    <row r="45" spans="1:17" x14ac:dyDescent="0.35">
      <c r="A45">
        <v>2</v>
      </c>
      <c r="B45">
        <f t="shared" si="1"/>
        <v>24</v>
      </c>
      <c r="C45">
        <v>1626</v>
      </c>
      <c r="D45">
        <v>-9</v>
      </c>
      <c r="E45" s="1">
        <v>16374</v>
      </c>
      <c r="F45">
        <v>2</v>
      </c>
      <c r="G45">
        <v>30</v>
      </c>
      <c r="H45" t="s">
        <v>74</v>
      </c>
      <c r="I45">
        <v>118</v>
      </c>
      <c r="J45">
        <v>30</v>
      </c>
      <c r="K45" t="s">
        <v>75</v>
      </c>
      <c r="L45" t="s">
        <v>66</v>
      </c>
      <c r="M45">
        <v>14000</v>
      </c>
      <c r="N45">
        <v>180</v>
      </c>
      <c r="O45">
        <v>6</v>
      </c>
      <c r="P45" t="s">
        <v>16</v>
      </c>
      <c r="Q45" t="s">
        <v>71</v>
      </c>
    </row>
    <row r="46" spans="1:17" x14ac:dyDescent="0.35">
      <c r="A46">
        <v>2</v>
      </c>
      <c r="B46">
        <f t="shared" si="1"/>
        <v>25</v>
      </c>
      <c r="C46">
        <v>2040</v>
      </c>
      <c r="D46">
        <v>-9</v>
      </c>
      <c r="E46" s="1">
        <v>16374</v>
      </c>
      <c r="F46">
        <v>4</v>
      </c>
      <c r="G46">
        <v>17</v>
      </c>
      <c r="H46" t="s">
        <v>74</v>
      </c>
      <c r="I46">
        <v>117</v>
      </c>
      <c r="J46">
        <v>47</v>
      </c>
      <c r="K46" t="s">
        <v>75</v>
      </c>
      <c r="L46" t="s">
        <v>64</v>
      </c>
      <c r="M46">
        <v>5600</v>
      </c>
      <c r="N46">
        <v>290</v>
      </c>
      <c r="O46">
        <v>7</v>
      </c>
      <c r="P46" t="s">
        <v>14</v>
      </c>
      <c r="Q46" t="s">
        <v>71</v>
      </c>
    </row>
    <row r="47" spans="1:17" x14ac:dyDescent="0.35">
      <c r="A47">
        <v>2</v>
      </c>
      <c r="B47">
        <f t="shared" si="1"/>
        <v>26</v>
      </c>
      <c r="C47">
        <v>645</v>
      </c>
      <c r="D47">
        <v>-9</v>
      </c>
      <c r="E47" s="1">
        <v>16375</v>
      </c>
      <c r="F47">
        <v>6</v>
      </c>
      <c r="G47">
        <v>5</v>
      </c>
      <c r="H47" t="s">
        <v>74</v>
      </c>
      <c r="I47">
        <v>117</v>
      </c>
      <c r="J47">
        <v>8</v>
      </c>
      <c r="K47" t="s">
        <v>75</v>
      </c>
      <c r="L47" t="s">
        <v>67</v>
      </c>
      <c r="M47">
        <v>24000</v>
      </c>
      <c r="O47">
        <v>6</v>
      </c>
      <c r="P47" t="s">
        <v>16</v>
      </c>
      <c r="Q47" t="s">
        <v>21</v>
      </c>
    </row>
    <row r="48" spans="1:17" x14ac:dyDescent="0.35">
      <c r="A48">
        <v>3</v>
      </c>
      <c r="B48">
        <v>1</v>
      </c>
      <c r="C48">
        <v>2308</v>
      </c>
      <c r="D48">
        <v>-9</v>
      </c>
      <c r="E48" s="1">
        <v>16412</v>
      </c>
      <c r="F48">
        <v>8</v>
      </c>
      <c r="G48">
        <v>31</v>
      </c>
      <c r="H48" t="s">
        <v>74</v>
      </c>
      <c r="I48">
        <v>115</v>
      </c>
      <c r="J48">
        <v>45</v>
      </c>
      <c r="K48" t="s">
        <v>75</v>
      </c>
      <c r="L48" t="s">
        <v>77</v>
      </c>
      <c r="M48">
        <v>10200</v>
      </c>
      <c r="N48">
        <v>50</v>
      </c>
      <c r="O48">
        <v>7</v>
      </c>
      <c r="P48" t="s">
        <v>18</v>
      </c>
    </row>
    <row r="49" spans="1:17" x14ac:dyDescent="0.35">
      <c r="A49">
        <v>3</v>
      </c>
      <c r="B49">
        <f t="shared" ref="B49:B64" si="2">B48+1</f>
        <v>2</v>
      </c>
      <c r="C49">
        <v>206</v>
      </c>
      <c r="D49">
        <v>-9</v>
      </c>
      <c r="E49" s="1">
        <v>16413</v>
      </c>
      <c r="F49">
        <v>8</v>
      </c>
      <c r="G49">
        <v>0</v>
      </c>
      <c r="H49" t="s">
        <v>74</v>
      </c>
      <c r="I49">
        <v>116</v>
      </c>
      <c r="J49">
        <v>6</v>
      </c>
      <c r="K49" t="s">
        <v>75</v>
      </c>
      <c r="L49" t="s">
        <v>78</v>
      </c>
      <c r="M49">
        <v>6900</v>
      </c>
      <c r="N49">
        <v>200</v>
      </c>
      <c r="O49">
        <v>8</v>
      </c>
      <c r="P49" t="s">
        <v>18</v>
      </c>
    </row>
    <row r="50" spans="1:17" x14ac:dyDescent="0.35">
      <c r="A50">
        <v>3</v>
      </c>
      <c r="B50">
        <f t="shared" si="2"/>
        <v>3</v>
      </c>
      <c r="C50">
        <v>1339</v>
      </c>
      <c r="D50">
        <v>-9</v>
      </c>
      <c r="E50" s="1">
        <v>16413</v>
      </c>
      <c r="F50">
        <v>6</v>
      </c>
      <c r="G50">
        <v>11</v>
      </c>
      <c r="H50" t="s">
        <v>74</v>
      </c>
      <c r="I50">
        <v>115</v>
      </c>
      <c r="J50">
        <v>46</v>
      </c>
      <c r="K50" t="s">
        <v>75</v>
      </c>
      <c r="L50" t="s">
        <v>78</v>
      </c>
      <c r="M50">
        <v>14000</v>
      </c>
      <c r="N50">
        <v>80</v>
      </c>
      <c r="O50">
        <v>5</v>
      </c>
      <c r="P50" t="s">
        <v>15</v>
      </c>
    </row>
    <row r="51" spans="1:17" x14ac:dyDescent="0.35">
      <c r="A51">
        <v>3</v>
      </c>
      <c r="B51">
        <f t="shared" si="2"/>
        <v>4</v>
      </c>
      <c r="C51">
        <v>1450</v>
      </c>
      <c r="D51">
        <v>-9</v>
      </c>
      <c r="E51" s="1">
        <v>16413</v>
      </c>
      <c r="F51">
        <v>6</v>
      </c>
      <c r="G51">
        <v>7</v>
      </c>
      <c r="H51" t="s">
        <v>74</v>
      </c>
      <c r="I51">
        <v>115</v>
      </c>
      <c r="J51">
        <v>34</v>
      </c>
      <c r="K51" t="s">
        <v>75</v>
      </c>
      <c r="L51" t="s">
        <v>78</v>
      </c>
      <c r="M51">
        <v>15000</v>
      </c>
      <c r="N51">
        <v>155</v>
      </c>
      <c r="O51">
        <v>5</v>
      </c>
      <c r="P51" t="s">
        <v>15</v>
      </c>
    </row>
    <row r="52" spans="1:17" x14ac:dyDescent="0.35">
      <c r="A52">
        <v>3</v>
      </c>
      <c r="B52">
        <f t="shared" si="2"/>
        <v>5</v>
      </c>
      <c r="C52">
        <v>1740</v>
      </c>
      <c r="D52">
        <v>-9</v>
      </c>
      <c r="E52" s="1">
        <v>16413</v>
      </c>
      <c r="F52">
        <v>6</v>
      </c>
      <c r="G52">
        <v>5</v>
      </c>
      <c r="H52" t="s">
        <v>74</v>
      </c>
      <c r="I52">
        <v>114</v>
      </c>
      <c r="J52">
        <v>58</v>
      </c>
      <c r="K52" t="s">
        <v>75</v>
      </c>
      <c r="L52" t="s">
        <v>78</v>
      </c>
      <c r="M52">
        <v>18000</v>
      </c>
      <c r="N52">
        <v>130</v>
      </c>
      <c r="O52">
        <v>5</v>
      </c>
      <c r="P52" t="s">
        <v>15</v>
      </c>
    </row>
    <row r="53" spans="1:17" x14ac:dyDescent="0.35">
      <c r="A53">
        <v>3</v>
      </c>
      <c r="B53">
        <f t="shared" si="2"/>
        <v>6</v>
      </c>
      <c r="C53">
        <v>50</v>
      </c>
      <c r="D53">
        <v>-9</v>
      </c>
      <c r="E53" s="1">
        <v>16414</v>
      </c>
      <c r="F53">
        <v>5</v>
      </c>
      <c r="G53">
        <v>35</v>
      </c>
      <c r="H53" t="s">
        <v>74</v>
      </c>
      <c r="I53">
        <v>113</v>
      </c>
      <c r="J53">
        <v>26</v>
      </c>
      <c r="K53" t="s">
        <v>75</v>
      </c>
      <c r="L53" t="s">
        <v>79</v>
      </c>
      <c r="P53" t="s">
        <v>18</v>
      </c>
      <c r="Q53" t="s">
        <v>83</v>
      </c>
    </row>
    <row r="54" spans="1:17" x14ac:dyDescent="0.35">
      <c r="A54">
        <v>3</v>
      </c>
      <c r="B54">
        <f t="shared" si="2"/>
        <v>7</v>
      </c>
      <c r="C54">
        <v>1457</v>
      </c>
      <c r="D54">
        <v>-9</v>
      </c>
      <c r="E54" s="1">
        <v>16414</v>
      </c>
      <c r="F54">
        <v>4</v>
      </c>
      <c r="G54">
        <v>30</v>
      </c>
      <c r="H54" t="s">
        <v>74</v>
      </c>
      <c r="I54">
        <v>111</v>
      </c>
      <c r="J54">
        <v>10</v>
      </c>
      <c r="K54" t="s">
        <v>75</v>
      </c>
      <c r="L54" t="s">
        <v>78</v>
      </c>
      <c r="M54">
        <v>22000</v>
      </c>
      <c r="N54">
        <v>180</v>
      </c>
      <c r="O54">
        <v>5</v>
      </c>
      <c r="P54" t="s">
        <v>15</v>
      </c>
    </row>
    <row r="55" spans="1:17" x14ac:dyDescent="0.35">
      <c r="A55">
        <v>3</v>
      </c>
      <c r="B55">
        <f t="shared" si="2"/>
        <v>8</v>
      </c>
      <c r="C55">
        <v>1520</v>
      </c>
      <c r="D55">
        <v>-9</v>
      </c>
      <c r="E55" s="1">
        <v>16414</v>
      </c>
      <c r="F55">
        <v>4</v>
      </c>
      <c r="G55">
        <v>33</v>
      </c>
      <c r="H55" t="s">
        <v>74</v>
      </c>
      <c r="I55">
        <v>111</v>
      </c>
      <c r="J55">
        <v>5</v>
      </c>
      <c r="K55" t="s">
        <v>75</v>
      </c>
      <c r="L55" t="s">
        <v>78</v>
      </c>
      <c r="M55">
        <v>20000</v>
      </c>
      <c r="N55">
        <v>340</v>
      </c>
      <c r="O55">
        <v>4</v>
      </c>
      <c r="P55" t="s">
        <v>15</v>
      </c>
    </row>
    <row r="56" spans="1:17" x14ac:dyDescent="0.35">
      <c r="A56">
        <v>3</v>
      </c>
      <c r="B56">
        <f t="shared" si="2"/>
        <v>9</v>
      </c>
      <c r="C56">
        <v>338</v>
      </c>
      <c r="D56">
        <v>-9</v>
      </c>
      <c r="E56" s="1">
        <v>16417</v>
      </c>
      <c r="F56">
        <v>3</v>
      </c>
      <c r="G56">
        <v>15</v>
      </c>
      <c r="H56" t="s">
        <v>76</v>
      </c>
      <c r="I56">
        <v>108</v>
      </c>
      <c r="J56">
        <v>38</v>
      </c>
      <c r="K56" t="s">
        <v>75</v>
      </c>
      <c r="L56" t="s">
        <v>79</v>
      </c>
      <c r="M56">
        <v>4250</v>
      </c>
      <c r="N56">
        <v>170</v>
      </c>
      <c r="O56">
        <v>8</v>
      </c>
      <c r="P56" t="s">
        <v>18</v>
      </c>
    </row>
    <row r="57" spans="1:17" x14ac:dyDescent="0.35">
      <c r="A57">
        <v>3</v>
      </c>
      <c r="B57">
        <f t="shared" si="2"/>
        <v>10</v>
      </c>
      <c r="C57">
        <v>2259</v>
      </c>
      <c r="D57">
        <v>-9</v>
      </c>
      <c r="E57" s="1">
        <v>16418</v>
      </c>
      <c r="F57">
        <v>7</v>
      </c>
      <c r="G57">
        <v>30</v>
      </c>
      <c r="H57" t="s">
        <v>76</v>
      </c>
      <c r="I57">
        <v>116</v>
      </c>
      <c r="J57">
        <v>38</v>
      </c>
      <c r="K57" t="s">
        <v>75</v>
      </c>
      <c r="L57" t="s">
        <v>80</v>
      </c>
      <c r="M57">
        <v>11400</v>
      </c>
      <c r="N57">
        <v>0</v>
      </c>
      <c r="O57">
        <v>8</v>
      </c>
      <c r="P57" t="s">
        <v>18</v>
      </c>
      <c r="Q57" t="s">
        <v>84</v>
      </c>
    </row>
    <row r="58" spans="1:17" x14ac:dyDescent="0.35">
      <c r="A58">
        <v>3</v>
      </c>
      <c r="B58">
        <f t="shared" si="2"/>
        <v>11</v>
      </c>
      <c r="C58">
        <v>615</v>
      </c>
      <c r="D58">
        <v>-9</v>
      </c>
      <c r="E58" s="1">
        <v>16426</v>
      </c>
      <c r="F58">
        <v>13</v>
      </c>
      <c r="G58">
        <v>5</v>
      </c>
      <c r="H58" t="s">
        <v>76</v>
      </c>
      <c r="I58">
        <v>117</v>
      </c>
      <c r="J58">
        <v>55</v>
      </c>
      <c r="K58" t="s">
        <v>75</v>
      </c>
      <c r="L58" t="s">
        <v>79</v>
      </c>
      <c r="M58">
        <v>10000</v>
      </c>
      <c r="N58">
        <v>0</v>
      </c>
      <c r="O58">
        <v>12</v>
      </c>
      <c r="P58" t="s">
        <v>15</v>
      </c>
      <c r="Q58" t="s">
        <v>85</v>
      </c>
    </row>
    <row r="59" spans="1:17" x14ac:dyDescent="0.35">
      <c r="A59">
        <v>3</v>
      </c>
      <c r="B59">
        <f t="shared" si="2"/>
        <v>12</v>
      </c>
      <c r="C59">
        <v>1255</v>
      </c>
      <c r="D59">
        <v>-9</v>
      </c>
      <c r="E59" s="1">
        <v>16451</v>
      </c>
      <c r="F59">
        <v>5</v>
      </c>
      <c r="G59">
        <v>51</v>
      </c>
      <c r="H59" t="s">
        <v>76</v>
      </c>
      <c r="I59">
        <v>103</v>
      </c>
      <c r="J59">
        <v>16</v>
      </c>
      <c r="K59" t="s">
        <v>75</v>
      </c>
      <c r="L59" t="s">
        <v>81</v>
      </c>
      <c r="M59">
        <v>30000</v>
      </c>
      <c r="N59">
        <v>348</v>
      </c>
      <c r="O59">
        <v>11</v>
      </c>
      <c r="P59" t="s">
        <v>15</v>
      </c>
      <c r="Q59" t="s">
        <v>86</v>
      </c>
    </row>
    <row r="60" spans="1:17" x14ac:dyDescent="0.35">
      <c r="A60">
        <v>3</v>
      </c>
      <c r="B60">
        <f t="shared" si="2"/>
        <v>13</v>
      </c>
      <c r="C60">
        <v>2046</v>
      </c>
      <c r="D60">
        <v>-9</v>
      </c>
      <c r="E60" s="1">
        <v>16455</v>
      </c>
      <c r="F60">
        <v>8</v>
      </c>
      <c r="G60">
        <v>34</v>
      </c>
      <c r="H60" t="s">
        <v>74</v>
      </c>
      <c r="I60">
        <v>115</v>
      </c>
      <c r="J60">
        <v>44</v>
      </c>
      <c r="K60" t="s">
        <v>75</v>
      </c>
      <c r="L60" t="s">
        <v>77</v>
      </c>
      <c r="M60">
        <v>3300</v>
      </c>
      <c r="N60">
        <v>190</v>
      </c>
      <c r="O60">
        <v>9</v>
      </c>
      <c r="P60" t="s">
        <v>14</v>
      </c>
      <c r="Q60" t="s">
        <v>87</v>
      </c>
    </row>
    <row r="61" spans="1:17" x14ac:dyDescent="0.35">
      <c r="A61">
        <v>3</v>
      </c>
      <c r="B61">
        <f t="shared" si="2"/>
        <v>14</v>
      </c>
      <c r="C61">
        <v>2120</v>
      </c>
      <c r="D61">
        <v>-9</v>
      </c>
      <c r="E61" s="1">
        <v>16455</v>
      </c>
      <c r="F61">
        <v>8</v>
      </c>
      <c r="G61">
        <v>41</v>
      </c>
      <c r="H61" t="s">
        <v>74</v>
      </c>
      <c r="I61">
        <v>115</v>
      </c>
      <c r="J61">
        <v>43</v>
      </c>
      <c r="K61" t="s">
        <v>75</v>
      </c>
      <c r="L61" t="s">
        <v>79</v>
      </c>
      <c r="M61">
        <v>2500</v>
      </c>
      <c r="N61">
        <v>0</v>
      </c>
      <c r="O61">
        <v>15</v>
      </c>
      <c r="P61" t="s">
        <v>18</v>
      </c>
      <c r="Q61" t="s">
        <v>88</v>
      </c>
    </row>
    <row r="62" spans="1:17" x14ac:dyDescent="0.35">
      <c r="A62">
        <v>3</v>
      </c>
      <c r="B62">
        <f t="shared" si="2"/>
        <v>15</v>
      </c>
      <c r="C62">
        <v>728</v>
      </c>
      <c r="D62">
        <v>-9</v>
      </c>
      <c r="E62" s="1">
        <v>16456</v>
      </c>
      <c r="F62">
        <v>11</v>
      </c>
      <c r="G62">
        <v>31</v>
      </c>
      <c r="H62" t="s">
        <v>74</v>
      </c>
      <c r="I62">
        <v>115</v>
      </c>
      <c r="J62">
        <v>17</v>
      </c>
      <c r="K62" t="s">
        <v>75</v>
      </c>
      <c r="L62" t="s">
        <v>82</v>
      </c>
      <c r="M62">
        <v>15000</v>
      </c>
      <c r="N62">
        <v>10</v>
      </c>
      <c r="O62">
        <v>12</v>
      </c>
      <c r="P62" t="s">
        <v>16</v>
      </c>
      <c r="Q62" t="s">
        <v>89</v>
      </c>
    </row>
    <row r="63" spans="1:17" x14ac:dyDescent="0.35">
      <c r="A63">
        <v>3</v>
      </c>
      <c r="B63">
        <f t="shared" si="2"/>
        <v>16</v>
      </c>
      <c r="C63">
        <v>940</v>
      </c>
      <c r="D63">
        <v>-9</v>
      </c>
      <c r="E63" s="1">
        <v>16456</v>
      </c>
      <c r="F63">
        <v>12</v>
      </c>
      <c r="G63">
        <v>2</v>
      </c>
      <c r="H63" t="s">
        <v>74</v>
      </c>
      <c r="I63">
        <v>115</v>
      </c>
      <c r="J63">
        <v>12</v>
      </c>
      <c r="K63" t="s">
        <v>75</v>
      </c>
      <c r="L63" t="s">
        <v>82</v>
      </c>
      <c r="M63">
        <v>15000</v>
      </c>
      <c r="N63">
        <v>10</v>
      </c>
      <c r="O63">
        <v>12</v>
      </c>
      <c r="P63" t="s">
        <v>16</v>
      </c>
      <c r="Q63" t="s">
        <v>90</v>
      </c>
    </row>
    <row r="64" spans="1:17" x14ac:dyDescent="0.35">
      <c r="A64">
        <v>3</v>
      </c>
      <c r="B64">
        <f t="shared" si="2"/>
        <v>17</v>
      </c>
      <c r="C64">
        <v>2054</v>
      </c>
      <c r="D64">
        <v>-9</v>
      </c>
      <c r="E64" s="1">
        <v>16456</v>
      </c>
      <c r="F64">
        <v>14</v>
      </c>
      <c r="G64">
        <v>52</v>
      </c>
      <c r="H64" t="s">
        <v>74</v>
      </c>
      <c r="I64">
        <v>114</v>
      </c>
      <c r="J64">
        <v>37</v>
      </c>
      <c r="K64" t="s">
        <v>75</v>
      </c>
      <c r="L64" t="s">
        <v>79</v>
      </c>
      <c r="M64">
        <v>10200</v>
      </c>
      <c r="N64">
        <v>10</v>
      </c>
      <c r="O64">
        <v>14</v>
      </c>
      <c r="P64" t="s">
        <v>18</v>
      </c>
      <c r="Q64" t="s">
        <v>83</v>
      </c>
    </row>
    <row r="65" spans="1:17" x14ac:dyDescent="0.35">
      <c r="A65">
        <v>4</v>
      </c>
      <c r="B65">
        <v>1</v>
      </c>
      <c r="C65">
        <v>531</v>
      </c>
      <c r="D65">
        <v>-9</v>
      </c>
      <c r="E65" s="1">
        <v>16487</v>
      </c>
      <c r="F65">
        <v>30</v>
      </c>
      <c r="G65">
        <v>4</v>
      </c>
      <c r="H65" t="s">
        <v>74</v>
      </c>
      <c r="I65">
        <v>114</v>
      </c>
      <c r="J65">
        <v>51</v>
      </c>
      <c r="K65" t="s">
        <v>75</v>
      </c>
      <c r="L65" t="s">
        <v>91</v>
      </c>
      <c r="M65">
        <v>6500</v>
      </c>
      <c r="N65">
        <v>150</v>
      </c>
      <c r="O65">
        <v>10</v>
      </c>
      <c r="P65" t="s">
        <v>18</v>
      </c>
    </row>
    <row r="66" spans="1:17" x14ac:dyDescent="0.35">
      <c r="A66">
        <v>4</v>
      </c>
      <c r="B66">
        <f>B65+1</f>
        <v>2</v>
      </c>
      <c r="C66">
        <v>1700</v>
      </c>
      <c r="D66">
        <v>-9</v>
      </c>
      <c r="E66" s="1">
        <v>16489</v>
      </c>
      <c r="F66">
        <v>19</v>
      </c>
      <c r="G66">
        <v>51</v>
      </c>
      <c r="H66" t="s">
        <v>74</v>
      </c>
      <c r="I66">
        <v>113</v>
      </c>
      <c r="J66">
        <v>21</v>
      </c>
      <c r="K66" t="s">
        <v>75</v>
      </c>
      <c r="L66" t="s">
        <v>92</v>
      </c>
      <c r="M66">
        <v>16000</v>
      </c>
      <c r="N66">
        <v>175</v>
      </c>
      <c r="O66">
        <v>10</v>
      </c>
      <c r="P66" t="s">
        <v>118</v>
      </c>
      <c r="Q66" t="s">
        <v>122</v>
      </c>
    </row>
    <row r="67" spans="1:17" x14ac:dyDescent="0.35">
      <c r="A67">
        <v>4</v>
      </c>
      <c r="B67">
        <f t="shared" ref="B67:B98" si="3">B66+1</f>
        <v>3</v>
      </c>
      <c r="C67">
        <v>1818</v>
      </c>
      <c r="D67">
        <v>-9</v>
      </c>
      <c r="E67" s="1">
        <v>16489</v>
      </c>
      <c r="F67">
        <v>19</v>
      </c>
      <c r="G67">
        <v>36</v>
      </c>
      <c r="H67" t="s">
        <v>74</v>
      </c>
      <c r="I67">
        <v>113</v>
      </c>
      <c r="J67">
        <v>25</v>
      </c>
      <c r="K67" t="s">
        <v>75</v>
      </c>
      <c r="L67" t="s">
        <v>93</v>
      </c>
      <c r="M67">
        <v>10000</v>
      </c>
      <c r="N67">
        <v>175</v>
      </c>
      <c r="O67">
        <v>10</v>
      </c>
      <c r="P67" t="s">
        <v>118</v>
      </c>
      <c r="Q67" t="s">
        <v>122</v>
      </c>
    </row>
    <row r="68" spans="1:17" x14ac:dyDescent="0.35">
      <c r="A68">
        <v>4</v>
      </c>
      <c r="B68">
        <f t="shared" si="3"/>
        <v>4</v>
      </c>
      <c r="C68">
        <v>157</v>
      </c>
      <c r="D68">
        <v>-9</v>
      </c>
      <c r="E68" s="1">
        <v>16494</v>
      </c>
      <c r="F68">
        <v>8</v>
      </c>
      <c r="G68">
        <v>30</v>
      </c>
      <c r="H68" t="s">
        <v>74</v>
      </c>
      <c r="I68">
        <v>115</v>
      </c>
      <c r="J68">
        <v>38</v>
      </c>
      <c r="K68" t="s">
        <v>75</v>
      </c>
      <c r="L68" t="s">
        <v>94</v>
      </c>
      <c r="M68">
        <v>9000</v>
      </c>
      <c r="N68">
        <v>320</v>
      </c>
      <c r="O68">
        <v>20</v>
      </c>
      <c r="P68" t="s">
        <v>119</v>
      </c>
      <c r="Q68" t="s">
        <v>122</v>
      </c>
    </row>
    <row r="69" spans="1:17" x14ac:dyDescent="0.35">
      <c r="A69">
        <v>4</v>
      </c>
      <c r="B69">
        <f t="shared" si="3"/>
        <v>5</v>
      </c>
      <c r="C69">
        <v>205</v>
      </c>
      <c r="D69">
        <v>-9</v>
      </c>
      <c r="E69" s="1">
        <v>16494</v>
      </c>
      <c r="F69">
        <v>8</v>
      </c>
      <c r="G69">
        <v>30</v>
      </c>
      <c r="H69" t="s">
        <v>74</v>
      </c>
      <c r="I69">
        <v>115</v>
      </c>
      <c r="J69">
        <v>38</v>
      </c>
      <c r="K69" t="s">
        <v>75</v>
      </c>
      <c r="L69" t="s">
        <v>95</v>
      </c>
      <c r="M69">
        <v>7000</v>
      </c>
      <c r="N69">
        <v>140</v>
      </c>
      <c r="P69" t="s">
        <v>119</v>
      </c>
      <c r="Q69" t="s">
        <v>122</v>
      </c>
    </row>
    <row r="70" spans="1:17" x14ac:dyDescent="0.35">
      <c r="A70">
        <v>4</v>
      </c>
      <c r="B70">
        <f t="shared" si="3"/>
        <v>6</v>
      </c>
      <c r="C70">
        <v>740</v>
      </c>
      <c r="D70">
        <v>-9</v>
      </c>
      <c r="E70" s="1">
        <v>16494</v>
      </c>
      <c r="F70">
        <v>6</v>
      </c>
      <c r="G70">
        <v>56</v>
      </c>
      <c r="H70" t="s">
        <v>74</v>
      </c>
      <c r="I70">
        <v>114</v>
      </c>
      <c r="J70">
        <v>47</v>
      </c>
      <c r="K70" t="s">
        <v>75</v>
      </c>
      <c r="L70" t="s">
        <v>96</v>
      </c>
      <c r="M70">
        <v>8000</v>
      </c>
      <c r="O70">
        <v>0</v>
      </c>
      <c r="P70" t="s">
        <v>120</v>
      </c>
      <c r="Q70" t="s">
        <v>123</v>
      </c>
    </row>
    <row r="71" spans="1:17" x14ac:dyDescent="0.35">
      <c r="A71">
        <v>4</v>
      </c>
      <c r="B71">
        <f t="shared" si="3"/>
        <v>7</v>
      </c>
      <c r="C71">
        <v>820</v>
      </c>
      <c r="D71">
        <v>-9</v>
      </c>
      <c r="E71" s="1">
        <v>16494</v>
      </c>
      <c r="F71">
        <v>7</v>
      </c>
      <c r="G71">
        <v>0</v>
      </c>
      <c r="H71" t="s">
        <v>74</v>
      </c>
      <c r="I71">
        <v>114</v>
      </c>
      <c r="J71">
        <v>49</v>
      </c>
      <c r="K71" t="s">
        <v>75</v>
      </c>
      <c r="L71" t="s">
        <v>97</v>
      </c>
      <c r="M71">
        <v>14000</v>
      </c>
      <c r="N71">
        <v>210</v>
      </c>
      <c r="O71">
        <v>5</v>
      </c>
      <c r="P71" t="s">
        <v>118</v>
      </c>
      <c r="Q71" t="s">
        <v>123</v>
      </c>
    </row>
    <row r="72" spans="1:17" x14ac:dyDescent="0.35">
      <c r="A72">
        <v>4</v>
      </c>
      <c r="B72">
        <f t="shared" si="3"/>
        <v>8</v>
      </c>
      <c r="C72">
        <v>1630</v>
      </c>
      <c r="D72">
        <v>-9</v>
      </c>
      <c r="E72" s="1">
        <v>16494</v>
      </c>
      <c r="F72">
        <v>6</v>
      </c>
      <c r="G72">
        <v>7</v>
      </c>
      <c r="H72" t="s">
        <v>74</v>
      </c>
      <c r="I72">
        <v>114</v>
      </c>
      <c r="J72">
        <v>6</v>
      </c>
      <c r="K72" t="s">
        <v>75</v>
      </c>
      <c r="L72" t="s">
        <v>98</v>
      </c>
      <c r="M72">
        <v>14000</v>
      </c>
      <c r="N72">
        <v>50</v>
      </c>
      <c r="O72">
        <v>6</v>
      </c>
      <c r="P72" t="s">
        <v>120</v>
      </c>
      <c r="Q72" t="s">
        <v>124</v>
      </c>
    </row>
    <row r="73" spans="1:17" x14ac:dyDescent="0.35">
      <c r="A73">
        <v>4</v>
      </c>
      <c r="B73">
        <f t="shared" si="3"/>
        <v>9</v>
      </c>
      <c r="C73">
        <v>1650</v>
      </c>
      <c r="D73">
        <v>-9</v>
      </c>
      <c r="E73" s="1">
        <v>16494</v>
      </c>
      <c r="F73">
        <v>6</v>
      </c>
      <c r="G73">
        <v>7</v>
      </c>
      <c r="H73" t="s">
        <v>74</v>
      </c>
      <c r="I73">
        <v>114</v>
      </c>
      <c r="J73">
        <v>6</v>
      </c>
      <c r="K73" t="s">
        <v>75</v>
      </c>
      <c r="L73" t="s">
        <v>98</v>
      </c>
      <c r="M73">
        <v>12000</v>
      </c>
      <c r="N73">
        <v>50</v>
      </c>
      <c r="O73">
        <v>6</v>
      </c>
      <c r="P73" t="s">
        <v>118</v>
      </c>
      <c r="Q73" t="s">
        <v>124</v>
      </c>
    </row>
    <row r="74" spans="1:17" x14ac:dyDescent="0.35">
      <c r="A74">
        <v>4</v>
      </c>
      <c r="B74">
        <f t="shared" si="3"/>
        <v>10</v>
      </c>
      <c r="C74">
        <v>435</v>
      </c>
      <c r="D74">
        <v>-9</v>
      </c>
      <c r="E74" s="1">
        <v>16495</v>
      </c>
      <c r="F74">
        <v>8</v>
      </c>
      <c r="G74">
        <v>7</v>
      </c>
      <c r="H74" t="s">
        <v>74</v>
      </c>
      <c r="I74">
        <v>115</v>
      </c>
      <c r="J74">
        <v>40</v>
      </c>
      <c r="K74" t="s">
        <v>75</v>
      </c>
      <c r="L74" t="s">
        <v>99</v>
      </c>
      <c r="M74">
        <v>6000</v>
      </c>
      <c r="N74">
        <v>330</v>
      </c>
      <c r="O74">
        <v>10</v>
      </c>
      <c r="P74" t="s">
        <v>121</v>
      </c>
      <c r="Q74" t="s">
        <v>125</v>
      </c>
    </row>
    <row r="75" spans="1:17" x14ac:dyDescent="0.35">
      <c r="A75">
        <v>4</v>
      </c>
      <c r="B75">
        <f t="shared" si="3"/>
        <v>11</v>
      </c>
      <c r="C75">
        <v>540</v>
      </c>
      <c r="D75">
        <v>-9</v>
      </c>
      <c r="E75" s="1">
        <v>16495</v>
      </c>
      <c r="F75">
        <v>8</v>
      </c>
      <c r="G75">
        <v>32</v>
      </c>
      <c r="H75" t="s">
        <v>74</v>
      </c>
      <c r="I75">
        <v>115</v>
      </c>
      <c r="J75">
        <v>35</v>
      </c>
      <c r="K75" t="s">
        <v>75</v>
      </c>
      <c r="L75" t="s">
        <v>99</v>
      </c>
      <c r="M75">
        <v>12000</v>
      </c>
      <c r="N75">
        <v>40</v>
      </c>
      <c r="O75">
        <v>5</v>
      </c>
      <c r="P75" t="s">
        <v>120</v>
      </c>
      <c r="Q75" t="s">
        <v>126</v>
      </c>
    </row>
    <row r="76" spans="1:17" x14ac:dyDescent="0.35">
      <c r="A76">
        <v>4</v>
      </c>
      <c r="B76">
        <f t="shared" si="3"/>
        <v>12</v>
      </c>
      <c r="C76">
        <v>2143</v>
      </c>
      <c r="D76">
        <v>-9</v>
      </c>
      <c r="E76" s="1">
        <v>16509</v>
      </c>
      <c r="F76">
        <v>8</v>
      </c>
      <c r="G76">
        <v>35</v>
      </c>
      <c r="H76" t="s">
        <v>74</v>
      </c>
      <c r="I76">
        <v>115</v>
      </c>
      <c r="J76">
        <v>44</v>
      </c>
      <c r="K76" t="s">
        <v>75</v>
      </c>
      <c r="L76" t="s">
        <v>100</v>
      </c>
      <c r="M76">
        <v>9050</v>
      </c>
      <c r="N76">
        <v>240</v>
      </c>
      <c r="O76">
        <v>7</v>
      </c>
      <c r="P76" t="s">
        <v>18</v>
      </c>
      <c r="Q76" t="s">
        <v>127</v>
      </c>
    </row>
    <row r="77" spans="1:17" x14ac:dyDescent="0.35">
      <c r="A77">
        <v>4</v>
      </c>
      <c r="B77">
        <f t="shared" si="3"/>
        <v>13</v>
      </c>
      <c r="C77">
        <v>2211</v>
      </c>
      <c r="D77">
        <v>-9</v>
      </c>
      <c r="E77" s="1">
        <v>16509</v>
      </c>
      <c r="F77">
        <v>8</v>
      </c>
      <c r="G77">
        <v>27</v>
      </c>
      <c r="H77" t="s">
        <v>74</v>
      </c>
      <c r="I77">
        <v>115</v>
      </c>
      <c r="J77">
        <v>49</v>
      </c>
      <c r="K77" t="s">
        <v>75</v>
      </c>
      <c r="L77" t="s">
        <v>100</v>
      </c>
      <c r="M77">
        <v>5500</v>
      </c>
      <c r="N77">
        <v>80</v>
      </c>
      <c r="O77">
        <v>5</v>
      </c>
      <c r="P77" t="s">
        <v>18</v>
      </c>
      <c r="Q77" t="s">
        <v>127</v>
      </c>
    </row>
    <row r="78" spans="1:17" x14ac:dyDescent="0.35">
      <c r="A78">
        <v>4</v>
      </c>
      <c r="B78">
        <f t="shared" si="3"/>
        <v>14</v>
      </c>
      <c r="C78">
        <v>2350</v>
      </c>
      <c r="D78">
        <v>-9</v>
      </c>
      <c r="E78" s="1">
        <v>16509</v>
      </c>
      <c r="F78">
        <v>8</v>
      </c>
      <c r="G78">
        <v>30</v>
      </c>
      <c r="H78" t="s">
        <v>74</v>
      </c>
      <c r="I78">
        <v>115</v>
      </c>
      <c r="J78">
        <v>43</v>
      </c>
      <c r="K78" t="s">
        <v>75</v>
      </c>
      <c r="L78" t="s">
        <v>101</v>
      </c>
      <c r="M78">
        <v>5200</v>
      </c>
      <c r="N78">
        <v>120</v>
      </c>
      <c r="O78">
        <v>5</v>
      </c>
      <c r="P78" t="s">
        <v>18</v>
      </c>
      <c r="Q78" t="s">
        <v>128</v>
      </c>
    </row>
    <row r="79" spans="1:17" x14ac:dyDescent="0.35">
      <c r="A79">
        <v>4</v>
      </c>
      <c r="B79">
        <f t="shared" si="3"/>
        <v>15</v>
      </c>
      <c r="C79">
        <v>950</v>
      </c>
      <c r="D79">
        <v>-9</v>
      </c>
      <c r="E79" s="1">
        <v>16510</v>
      </c>
      <c r="F79">
        <v>5</v>
      </c>
      <c r="G79">
        <v>50</v>
      </c>
      <c r="H79" t="s">
        <v>74</v>
      </c>
      <c r="I79">
        <v>113</v>
      </c>
      <c r="J79">
        <v>55</v>
      </c>
      <c r="K79" t="s">
        <v>75</v>
      </c>
      <c r="L79" t="s">
        <v>102</v>
      </c>
      <c r="M79">
        <v>10000</v>
      </c>
      <c r="N79">
        <v>340</v>
      </c>
      <c r="O79">
        <v>15</v>
      </c>
      <c r="P79" t="s">
        <v>15</v>
      </c>
      <c r="Q79" t="s">
        <v>129</v>
      </c>
    </row>
    <row r="80" spans="1:17" x14ac:dyDescent="0.35">
      <c r="A80">
        <v>4</v>
      </c>
      <c r="B80">
        <f t="shared" si="3"/>
        <v>16</v>
      </c>
      <c r="C80">
        <v>1303</v>
      </c>
      <c r="D80">
        <v>-9</v>
      </c>
      <c r="E80" s="1">
        <v>16510</v>
      </c>
      <c r="F80">
        <v>5</v>
      </c>
      <c r="G80">
        <v>39</v>
      </c>
      <c r="H80" t="s">
        <v>74</v>
      </c>
      <c r="I80">
        <v>114</v>
      </c>
      <c r="J80">
        <v>11</v>
      </c>
      <c r="K80" t="s">
        <v>75</v>
      </c>
      <c r="L80" t="s">
        <v>103</v>
      </c>
      <c r="M80">
        <v>15000</v>
      </c>
      <c r="N80">
        <v>35</v>
      </c>
      <c r="O80">
        <v>6.5</v>
      </c>
      <c r="P80" t="s">
        <v>15</v>
      </c>
      <c r="Q80" t="s">
        <v>130</v>
      </c>
    </row>
    <row r="81" spans="1:17" x14ac:dyDescent="0.35">
      <c r="A81">
        <v>4</v>
      </c>
      <c r="B81">
        <f t="shared" si="3"/>
        <v>17</v>
      </c>
      <c r="C81">
        <v>1414</v>
      </c>
      <c r="D81">
        <v>-9</v>
      </c>
      <c r="E81" s="1">
        <v>16511</v>
      </c>
      <c r="F81">
        <v>4</v>
      </c>
      <c r="G81">
        <v>7</v>
      </c>
      <c r="H81" t="s">
        <v>74</v>
      </c>
      <c r="I81">
        <v>110</v>
      </c>
      <c r="J81">
        <v>55</v>
      </c>
      <c r="K81" t="s">
        <v>75</v>
      </c>
      <c r="L81" t="s">
        <v>110</v>
      </c>
      <c r="M81">
        <v>25000</v>
      </c>
      <c r="N81">
        <v>280</v>
      </c>
      <c r="O81">
        <v>14</v>
      </c>
      <c r="P81" t="s">
        <v>120</v>
      </c>
      <c r="Q81" t="s">
        <v>132</v>
      </c>
    </row>
    <row r="82" spans="1:17" x14ac:dyDescent="0.35">
      <c r="A82">
        <v>4</v>
      </c>
      <c r="B82">
        <f t="shared" si="3"/>
        <v>18</v>
      </c>
      <c r="C82">
        <v>905</v>
      </c>
      <c r="D82">
        <v>-9</v>
      </c>
      <c r="E82" s="1">
        <v>16513</v>
      </c>
      <c r="F82">
        <v>0</v>
      </c>
      <c r="G82">
        <v>42</v>
      </c>
      <c r="H82" t="s">
        <v>76</v>
      </c>
      <c r="I82">
        <v>107</v>
      </c>
      <c r="J82">
        <v>59</v>
      </c>
      <c r="K82" t="s">
        <v>75</v>
      </c>
      <c r="L82" t="s">
        <v>104</v>
      </c>
      <c r="M82">
        <v>16000</v>
      </c>
      <c r="N82">
        <v>90</v>
      </c>
      <c r="O82">
        <v>3</v>
      </c>
      <c r="P82" t="s">
        <v>118</v>
      </c>
      <c r="Q82" t="s">
        <v>133</v>
      </c>
    </row>
    <row r="83" spans="1:17" x14ac:dyDescent="0.35">
      <c r="A83">
        <v>4</v>
      </c>
      <c r="B83">
        <f t="shared" si="3"/>
        <v>19</v>
      </c>
      <c r="C83">
        <v>2350</v>
      </c>
      <c r="D83">
        <v>-9</v>
      </c>
      <c r="E83" s="1">
        <v>16516</v>
      </c>
      <c r="F83">
        <v>11</v>
      </c>
      <c r="G83">
        <v>28</v>
      </c>
      <c r="H83" t="s">
        <v>76</v>
      </c>
      <c r="I83">
        <v>109</v>
      </c>
      <c r="J83">
        <v>42</v>
      </c>
      <c r="K83" t="s">
        <v>75</v>
      </c>
      <c r="L83" t="s">
        <v>105</v>
      </c>
      <c r="M83">
        <v>4000</v>
      </c>
      <c r="N83" t="s">
        <v>116</v>
      </c>
      <c r="O83" t="s">
        <v>116</v>
      </c>
      <c r="P83" t="s">
        <v>18</v>
      </c>
      <c r="Q83" t="s">
        <v>134</v>
      </c>
    </row>
    <row r="84" spans="1:17" x14ac:dyDescent="0.35">
      <c r="A84">
        <v>4</v>
      </c>
      <c r="B84">
        <f t="shared" si="3"/>
        <v>20</v>
      </c>
      <c r="C84">
        <v>1725</v>
      </c>
      <c r="D84">
        <v>-9</v>
      </c>
      <c r="E84" s="1">
        <v>16517</v>
      </c>
      <c r="F84">
        <v>11</v>
      </c>
      <c r="G84">
        <v>0</v>
      </c>
      <c r="H84" t="s">
        <v>76</v>
      </c>
      <c r="I84">
        <v>108</v>
      </c>
      <c r="J84">
        <v>55</v>
      </c>
      <c r="K84" t="s">
        <v>75</v>
      </c>
      <c r="L84" t="s">
        <v>106</v>
      </c>
      <c r="M84">
        <v>20000</v>
      </c>
      <c r="N84">
        <v>180</v>
      </c>
      <c r="O84">
        <v>9</v>
      </c>
      <c r="P84" t="s">
        <v>118</v>
      </c>
      <c r="Q84" t="s">
        <v>135</v>
      </c>
    </row>
    <row r="85" spans="1:17" x14ac:dyDescent="0.35">
      <c r="A85">
        <v>4</v>
      </c>
      <c r="B85">
        <f t="shared" si="3"/>
        <v>21</v>
      </c>
      <c r="C85">
        <v>2125</v>
      </c>
      <c r="D85">
        <v>-9</v>
      </c>
      <c r="E85" s="1">
        <v>16517</v>
      </c>
      <c r="F85">
        <v>11</v>
      </c>
      <c r="G85">
        <v>10</v>
      </c>
      <c r="H85" t="s">
        <v>76</v>
      </c>
      <c r="I85">
        <v>108</v>
      </c>
      <c r="J85">
        <v>56</v>
      </c>
      <c r="K85" t="s">
        <v>75</v>
      </c>
      <c r="L85" t="s">
        <v>107</v>
      </c>
      <c r="M85">
        <v>4800</v>
      </c>
      <c r="N85">
        <v>240</v>
      </c>
      <c r="O85">
        <v>5</v>
      </c>
      <c r="P85" t="s">
        <v>18</v>
      </c>
      <c r="Q85" t="s">
        <v>136</v>
      </c>
    </row>
    <row r="86" spans="1:17" x14ac:dyDescent="0.35">
      <c r="A86">
        <v>4</v>
      </c>
      <c r="B86">
        <f t="shared" si="3"/>
        <v>22</v>
      </c>
      <c r="C86">
        <v>2130</v>
      </c>
      <c r="D86">
        <v>-9</v>
      </c>
      <c r="E86" s="1">
        <v>16519</v>
      </c>
      <c r="F86">
        <v>11</v>
      </c>
      <c r="G86">
        <v>19</v>
      </c>
      <c r="H86" t="s">
        <v>76</v>
      </c>
      <c r="I86">
        <v>109</v>
      </c>
      <c r="J86">
        <v>12</v>
      </c>
      <c r="K86" t="s">
        <v>75</v>
      </c>
      <c r="L86" t="s">
        <v>107</v>
      </c>
      <c r="M86">
        <v>10050</v>
      </c>
      <c r="N86">
        <v>200</v>
      </c>
      <c r="O86">
        <v>5</v>
      </c>
      <c r="P86" t="s">
        <v>18</v>
      </c>
      <c r="Q86" t="s">
        <v>137</v>
      </c>
    </row>
    <row r="87" spans="1:17" x14ac:dyDescent="0.35">
      <c r="A87">
        <v>4</v>
      </c>
      <c r="B87">
        <f t="shared" si="3"/>
        <v>23</v>
      </c>
      <c r="C87">
        <v>2317</v>
      </c>
      <c r="D87">
        <v>-9</v>
      </c>
      <c r="E87" s="1">
        <v>16519</v>
      </c>
      <c r="F87">
        <v>11</v>
      </c>
      <c r="G87">
        <v>26</v>
      </c>
      <c r="H87" t="s">
        <v>76</v>
      </c>
      <c r="I87">
        <v>109</v>
      </c>
      <c r="J87">
        <v>42</v>
      </c>
      <c r="K87" t="s">
        <v>75</v>
      </c>
      <c r="L87" t="s">
        <v>117</v>
      </c>
      <c r="M87">
        <v>10000</v>
      </c>
      <c r="N87">
        <v>290</v>
      </c>
      <c r="O87">
        <v>8</v>
      </c>
      <c r="P87" t="s">
        <v>18</v>
      </c>
      <c r="Q87" t="s">
        <v>138</v>
      </c>
    </row>
    <row r="88" spans="1:17" x14ac:dyDescent="0.35">
      <c r="A88">
        <v>4</v>
      </c>
      <c r="B88">
        <f t="shared" si="3"/>
        <v>24</v>
      </c>
      <c r="C88">
        <v>1301</v>
      </c>
      <c r="D88">
        <v>-9</v>
      </c>
      <c r="E88" s="1">
        <v>16523</v>
      </c>
      <c r="F88">
        <v>11</v>
      </c>
      <c r="G88">
        <v>35</v>
      </c>
      <c r="H88" t="s">
        <v>76</v>
      </c>
      <c r="I88">
        <v>109</v>
      </c>
      <c r="J88">
        <v>22</v>
      </c>
      <c r="K88" t="s">
        <v>75</v>
      </c>
      <c r="L88" t="s">
        <v>109</v>
      </c>
      <c r="P88" t="s">
        <v>15</v>
      </c>
      <c r="Q88" t="s">
        <v>139</v>
      </c>
    </row>
    <row r="89" spans="1:17" x14ac:dyDescent="0.35">
      <c r="A89">
        <v>4</v>
      </c>
      <c r="B89">
        <f t="shared" si="3"/>
        <v>25</v>
      </c>
      <c r="C89">
        <v>1320</v>
      </c>
      <c r="D89">
        <v>-9</v>
      </c>
      <c r="E89" s="1">
        <v>16523</v>
      </c>
      <c r="F89">
        <v>11</v>
      </c>
      <c r="G89">
        <v>35</v>
      </c>
      <c r="H89" t="s">
        <v>76</v>
      </c>
      <c r="I89">
        <v>109</v>
      </c>
      <c r="J89">
        <v>22</v>
      </c>
      <c r="K89" t="s">
        <v>75</v>
      </c>
      <c r="L89" t="s">
        <v>111</v>
      </c>
      <c r="P89" t="s">
        <v>15</v>
      </c>
      <c r="Q89" t="s">
        <v>139</v>
      </c>
    </row>
    <row r="90" spans="1:17" x14ac:dyDescent="0.35">
      <c r="A90">
        <v>4</v>
      </c>
      <c r="B90">
        <f t="shared" si="3"/>
        <v>26</v>
      </c>
      <c r="C90">
        <v>1940</v>
      </c>
      <c r="D90">
        <v>-9</v>
      </c>
      <c r="E90" s="1">
        <v>16523</v>
      </c>
      <c r="F90">
        <v>11</v>
      </c>
      <c r="G90">
        <v>38</v>
      </c>
      <c r="H90" t="s">
        <v>76</v>
      </c>
      <c r="I90">
        <v>109</v>
      </c>
      <c r="J90">
        <v>20</v>
      </c>
      <c r="K90" t="s">
        <v>75</v>
      </c>
      <c r="L90" t="s">
        <v>108</v>
      </c>
      <c r="M90">
        <v>10000</v>
      </c>
      <c r="P90" t="s">
        <v>18</v>
      </c>
      <c r="Q90" t="s">
        <v>140</v>
      </c>
    </row>
    <row r="91" spans="1:17" x14ac:dyDescent="0.35">
      <c r="A91">
        <v>4</v>
      </c>
      <c r="B91">
        <f t="shared" si="3"/>
        <v>27</v>
      </c>
      <c r="C91">
        <v>250</v>
      </c>
      <c r="D91">
        <v>-9</v>
      </c>
      <c r="E91" s="1">
        <v>16524</v>
      </c>
      <c r="F91">
        <v>11</v>
      </c>
      <c r="G91">
        <v>52</v>
      </c>
      <c r="H91" t="s">
        <v>76</v>
      </c>
      <c r="I91">
        <v>109</v>
      </c>
      <c r="J91">
        <v>28</v>
      </c>
      <c r="K91" t="s">
        <v>75</v>
      </c>
      <c r="L91" t="s">
        <v>112</v>
      </c>
      <c r="M91">
        <v>11000</v>
      </c>
      <c r="N91" t="s">
        <v>116</v>
      </c>
      <c r="O91" t="s">
        <v>116</v>
      </c>
      <c r="P91" t="s">
        <v>18</v>
      </c>
      <c r="Q91" t="s">
        <v>140</v>
      </c>
    </row>
    <row r="92" spans="1:17" x14ac:dyDescent="0.35">
      <c r="A92">
        <v>4</v>
      </c>
      <c r="B92">
        <f t="shared" si="3"/>
        <v>28</v>
      </c>
      <c r="C92">
        <v>55</v>
      </c>
      <c r="D92">
        <v>-9</v>
      </c>
      <c r="E92" s="1">
        <v>16526</v>
      </c>
      <c r="F92">
        <v>11</v>
      </c>
      <c r="G92">
        <v>48</v>
      </c>
      <c r="H92" t="s">
        <v>76</v>
      </c>
      <c r="I92">
        <v>109</v>
      </c>
      <c r="J92">
        <v>22</v>
      </c>
      <c r="K92" t="s">
        <v>75</v>
      </c>
      <c r="L92" t="s">
        <v>113</v>
      </c>
      <c r="M92">
        <v>11000</v>
      </c>
      <c r="N92">
        <v>215</v>
      </c>
      <c r="O92">
        <v>6</v>
      </c>
      <c r="P92" t="s">
        <v>18</v>
      </c>
      <c r="Q92" t="s">
        <v>131</v>
      </c>
    </row>
    <row r="93" spans="1:17" x14ac:dyDescent="0.35">
      <c r="A93">
        <v>4</v>
      </c>
      <c r="B93">
        <f t="shared" si="3"/>
        <v>29</v>
      </c>
      <c r="C93">
        <v>532</v>
      </c>
      <c r="D93">
        <v>-9</v>
      </c>
      <c r="E93" s="1">
        <v>16526</v>
      </c>
      <c r="F93">
        <v>11</v>
      </c>
      <c r="G93">
        <v>53</v>
      </c>
      <c r="H93" t="s">
        <v>76</v>
      </c>
      <c r="I93">
        <v>109</v>
      </c>
      <c r="J93">
        <v>24</v>
      </c>
      <c r="K93" t="s">
        <v>75</v>
      </c>
      <c r="L93" t="s">
        <v>78</v>
      </c>
      <c r="M93">
        <v>5000</v>
      </c>
      <c r="N93">
        <v>180</v>
      </c>
      <c r="O93">
        <v>3</v>
      </c>
      <c r="P93" t="s">
        <v>18</v>
      </c>
      <c r="Q93" t="s">
        <v>141</v>
      </c>
    </row>
    <row r="94" spans="1:17" x14ac:dyDescent="0.35">
      <c r="A94">
        <v>4</v>
      </c>
      <c r="B94">
        <f t="shared" si="3"/>
        <v>30</v>
      </c>
      <c r="C94">
        <v>1133</v>
      </c>
      <c r="D94">
        <v>-9</v>
      </c>
      <c r="E94" s="1">
        <v>16526</v>
      </c>
      <c r="F94">
        <v>11</v>
      </c>
      <c r="G94">
        <v>54</v>
      </c>
      <c r="H94" t="s">
        <v>76</v>
      </c>
      <c r="I94">
        <v>109</v>
      </c>
      <c r="J94">
        <v>12</v>
      </c>
      <c r="K94" t="s">
        <v>75</v>
      </c>
      <c r="L94" t="s">
        <v>49</v>
      </c>
      <c r="M94">
        <v>8500</v>
      </c>
      <c r="P94" t="s">
        <v>15</v>
      </c>
      <c r="Q94" t="s">
        <v>142</v>
      </c>
    </row>
    <row r="95" spans="1:17" x14ac:dyDescent="0.35">
      <c r="A95">
        <v>4</v>
      </c>
      <c r="B95">
        <f t="shared" si="3"/>
        <v>31</v>
      </c>
      <c r="C95">
        <v>809</v>
      </c>
      <c r="D95">
        <v>-9</v>
      </c>
      <c r="E95" s="1">
        <v>16530</v>
      </c>
      <c r="F95">
        <v>10</v>
      </c>
      <c r="G95">
        <v>42</v>
      </c>
      <c r="H95" t="s">
        <v>76</v>
      </c>
      <c r="I95">
        <v>109</v>
      </c>
      <c r="J95">
        <v>40</v>
      </c>
      <c r="K95" t="s">
        <v>75</v>
      </c>
      <c r="L95" t="s">
        <v>43</v>
      </c>
      <c r="M95">
        <v>2000</v>
      </c>
      <c r="P95" t="s">
        <v>120</v>
      </c>
      <c r="Q95" t="s">
        <v>143</v>
      </c>
    </row>
    <row r="96" spans="1:17" x14ac:dyDescent="0.35">
      <c r="A96">
        <v>4</v>
      </c>
      <c r="B96">
        <f t="shared" si="3"/>
        <v>32</v>
      </c>
      <c r="C96">
        <v>1355</v>
      </c>
      <c r="D96">
        <v>-9</v>
      </c>
      <c r="E96" s="1">
        <v>16530</v>
      </c>
      <c r="F96">
        <v>11</v>
      </c>
      <c r="G96">
        <v>0</v>
      </c>
      <c r="H96" t="s">
        <v>76</v>
      </c>
      <c r="I96">
        <v>109</v>
      </c>
      <c r="J96">
        <v>37</v>
      </c>
      <c r="K96" t="s">
        <v>75</v>
      </c>
      <c r="L96" t="s">
        <v>43</v>
      </c>
      <c r="M96">
        <v>5000</v>
      </c>
      <c r="P96" t="s">
        <v>120</v>
      </c>
      <c r="Q96" t="s">
        <v>143</v>
      </c>
    </row>
    <row r="97" spans="1:17" x14ac:dyDescent="0.35">
      <c r="A97">
        <v>4</v>
      </c>
      <c r="B97">
        <f t="shared" si="3"/>
        <v>33</v>
      </c>
      <c r="C97">
        <v>1425</v>
      </c>
      <c r="D97">
        <v>-9</v>
      </c>
      <c r="E97" s="1">
        <v>16536</v>
      </c>
      <c r="F97">
        <v>11</v>
      </c>
      <c r="G97">
        <v>49</v>
      </c>
      <c r="H97" t="s">
        <v>76</v>
      </c>
      <c r="I97">
        <v>109</v>
      </c>
      <c r="J97">
        <v>24</v>
      </c>
      <c r="K97" t="s">
        <v>75</v>
      </c>
      <c r="L97" t="s">
        <v>114</v>
      </c>
      <c r="M97">
        <v>11000</v>
      </c>
      <c r="N97">
        <v>10</v>
      </c>
      <c r="O97">
        <v>10</v>
      </c>
      <c r="P97" t="s">
        <v>15</v>
      </c>
      <c r="Q97" t="s">
        <v>144</v>
      </c>
    </row>
    <row r="98" spans="1:17" x14ac:dyDescent="0.35">
      <c r="A98">
        <v>4</v>
      </c>
      <c r="B98">
        <f t="shared" si="3"/>
        <v>34</v>
      </c>
      <c r="C98">
        <v>438</v>
      </c>
      <c r="D98">
        <v>-9</v>
      </c>
      <c r="E98" s="1">
        <v>16538</v>
      </c>
      <c r="F98">
        <v>11</v>
      </c>
      <c r="G98">
        <v>58</v>
      </c>
      <c r="H98" t="s">
        <v>76</v>
      </c>
      <c r="I98">
        <v>109</v>
      </c>
      <c r="J98">
        <v>37</v>
      </c>
      <c r="K98" t="s">
        <v>75</v>
      </c>
      <c r="L98" t="s">
        <v>115</v>
      </c>
      <c r="P98" t="s">
        <v>18</v>
      </c>
      <c r="Q98" t="s">
        <v>140</v>
      </c>
    </row>
    <row r="99" spans="1:17" x14ac:dyDescent="0.35">
      <c r="A99">
        <v>5</v>
      </c>
      <c r="B99">
        <v>1</v>
      </c>
      <c r="C99">
        <v>100</v>
      </c>
      <c r="D99">
        <v>-9</v>
      </c>
      <c r="E99" s="1">
        <v>16569</v>
      </c>
      <c r="F99">
        <v>10</v>
      </c>
      <c r="G99">
        <v>2</v>
      </c>
      <c r="H99" t="s">
        <v>76</v>
      </c>
      <c r="I99">
        <v>110</v>
      </c>
      <c r="J99">
        <v>13</v>
      </c>
      <c r="K99" t="s">
        <v>75</v>
      </c>
      <c r="L99" t="s">
        <v>102</v>
      </c>
      <c r="M99">
        <v>8000</v>
      </c>
      <c r="N99">
        <v>30</v>
      </c>
      <c r="O99">
        <v>14</v>
      </c>
      <c r="P99" t="s">
        <v>157</v>
      </c>
      <c r="Q99" t="s">
        <v>161</v>
      </c>
    </row>
    <row r="100" spans="1:17" x14ac:dyDescent="0.35">
      <c r="A100">
        <v>5</v>
      </c>
      <c r="B100">
        <f>B99+1</f>
        <v>2</v>
      </c>
      <c r="C100">
        <v>505</v>
      </c>
      <c r="D100">
        <v>-9</v>
      </c>
      <c r="E100" s="1">
        <v>16571</v>
      </c>
      <c r="F100">
        <v>9</v>
      </c>
      <c r="G100">
        <v>35</v>
      </c>
      <c r="H100" t="s">
        <v>76</v>
      </c>
      <c r="I100">
        <v>101</v>
      </c>
      <c r="J100">
        <v>44</v>
      </c>
      <c r="K100" t="s">
        <v>75</v>
      </c>
      <c r="L100" t="s">
        <v>145</v>
      </c>
      <c r="M100">
        <v>22000</v>
      </c>
      <c r="N100">
        <v>250</v>
      </c>
      <c r="O100">
        <v>9.5</v>
      </c>
      <c r="P100" t="s">
        <v>157</v>
      </c>
      <c r="Q100" t="s">
        <v>162</v>
      </c>
    </row>
    <row r="101" spans="1:17" x14ac:dyDescent="0.35">
      <c r="A101">
        <v>5</v>
      </c>
      <c r="B101">
        <f t="shared" ref="B101:B123" si="4">B100+1</f>
        <v>3</v>
      </c>
      <c r="C101">
        <v>0</v>
      </c>
      <c r="D101">
        <v>-9</v>
      </c>
      <c r="E101" s="1">
        <v>16572</v>
      </c>
      <c r="F101">
        <v>9</v>
      </c>
      <c r="G101">
        <v>30</v>
      </c>
      <c r="H101" t="s">
        <v>76</v>
      </c>
      <c r="I101">
        <v>101</v>
      </c>
      <c r="J101">
        <v>28</v>
      </c>
      <c r="K101" t="s">
        <v>75</v>
      </c>
      <c r="L101" t="s">
        <v>145</v>
      </c>
      <c r="M101">
        <v>18500</v>
      </c>
      <c r="N101">
        <v>280</v>
      </c>
      <c r="O101">
        <v>9</v>
      </c>
      <c r="P101" t="s">
        <v>157</v>
      </c>
      <c r="Q101" t="s">
        <v>163</v>
      </c>
    </row>
    <row r="102" spans="1:17" x14ac:dyDescent="0.35">
      <c r="A102">
        <v>5</v>
      </c>
      <c r="B102">
        <f t="shared" si="4"/>
        <v>4</v>
      </c>
      <c r="C102">
        <v>343</v>
      </c>
      <c r="D102">
        <v>-9</v>
      </c>
      <c r="E102" s="1">
        <v>16572</v>
      </c>
      <c r="F102">
        <v>9</v>
      </c>
      <c r="G102">
        <v>18</v>
      </c>
      <c r="H102" t="s">
        <v>76</v>
      </c>
      <c r="I102">
        <v>101</v>
      </c>
      <c r="J102">
        <v>41</v>
      </c>
      <c r="K102" t="s">
        <v>75</v>
      </c>
      <c r="L102" t="s">
        <v>146</v>
      </c>
      <c r="M102">
        <v>10500</v>
      </c>
      <c r="N102">
        <v>140</v>
      </c>
      <c r="O102">
        <v>10</v>
      </c>
      <c r="P102" t="s">
        <v>157</v>
      </c>
      <c r="Q102" t="s">
        <v>164</v>
      </c>
    </row>
    <row r="103" spans="1:17" x14ac:dyDescent="0.35">
      <c r="A103">
        <v>5</v>
      </c>
      <c r="B103">
        <f t="shared" si="4"/>
        <v>5</v>
      </c>
      <c r="C103">
        <v>2237</v>
      </c>
      <c r="D103">
        <v>-9</v>
      </c>
      <c r="E103" s="1">
        <v>16573</v>
      </c>
      <c r="F103">
        <v>7</v>
      </c>
      <c r="G103">
        <v>0</v>
      </c>
      <c r="H103" t="s">
        <v>76</v>
      </c>
      <c r="I103">
        <v>101</v>
      </c>
      <c r="J103">
        <v>25</v>
      </c>
      <c r="K103" t="s">
        <v>75</v>
      </c>
      <c r="L103" t="s">
        <v>147</v>
      </c>
      <c r="M103">
        <v>18500</v>
      </c>
      <c r="P103" t="s">
        <v>157</v>
      </c>
      <c r="Q103" t="s">
        <v>161</v>
      </c>
    </row>
    <row r="104" spans="1:17" x14ac:dyDescent="0.35">
      <c r="A104">
        <v>5</v>
      </c>
      <c r="B104">
        <f t="shared" si="4"/>
        <v>6</v>
      </c>
      <c r="C104">
        <v>37</v>
      </c>
      <c r="D104">
        <v>-9</v>
      </c>
      <c r="E104" s="1">
        <v>16575</v>
      </c>
      <c r="F104">
        <v>10</v>
      </c>
      <c r="G104">
        <v>23</v>
      </c>
      <c r="H104" t="s">
        <v>76</v>
      </c>
      <c r="I104">
        <v>99</v>
      </c>
      <c r="J104">
        <v>55</v>
      </c>
      <c r="K104" t="s">
        <v>75</v>
      </c>
      <c r="L104" t="s">
        <v>148</v>
      </c>
      <c r="M104">
        <v>5800</v>
      </c>
      <c r="N104">
        <v>300</v>
      </c>
      <c r="O104">
        <v>3</v>
      </c>
      <c r="P104" t="s">
        <v>157</v>
      </c>
      <c r="Q104" t="s">
        <v>165</v>
      </c>
    </row>
    <row r="105" spans="1:17" x14ac:dyDescent="0.35">
      <c r="A105">
        <v>5</v>
      </c>
      <c r="B105">
        <f t="shared" si="4"/>
        <v>7</v>
      </c>
      <c r="C105">
        <v>333</v>
      </c>
      <c r="D105">
        <v>-9</v>
      </c>
      <c r="E105" s="1">
        <v>16575</v>
      </c>
      <c r="F105">
        <v>10</v>
      </c>
      <c r="G105">
        <v>18</v>
      </c>
      <c r="H105" t="s">
        <v>76</v>
      </c>
      <c r="I105">
        <v>99</v>
      </c>
      <c r="J105">
        <v>29</v>
      </c>
      <c r="K105" t="s">
        <v>75</v>
      </c>
      <c r="L105" t="s">
        <v>148</v>
      </c>
      <c r="M105">
        <v>5500</v>
      </c>
      <c r="O105">
        <v>1</v>
      </c>
      <c r="P105" t="s">
        <v>157</v>
      </c>
      <c r="Q105" t="s">
        <v>165</v>
      </c>
    </row>
    <row r="106" spans="1:17" x14ac:dyDescent="0.35">
      <c r="A106">
        <v>5</v>
      </c>
      <c r="B106">
        <f t="shared" si="4"/>
        <v>8</v>
      </c>
      <c r="C106">
        <v>525</v>
      </c>
      <c r="D106">
        <v>-9</v>
      </c>
      <c r="E106" s="1">
        <v>16576</v>
      </c>
      <c r="F106">
        <v>8</v>
      </c>
      <c r="G106">
        <v>34</v>
      </c>
      <c r="H106" t="s">
        <v>76</v>
      </c>
      <c r="I106">
        <v>102</v>
      </c>
      <c r="J106">
        <v>25</v>
      </c>
      <c r="K106" t="s">
        <v>75</v>
      </c>
      <c r="L106" t="s">
        <v>149</v>
      </c>
      <c r="M106">
        <v>11500</v>
      </c>
      <c r="N106">
        <v>80</v>
      </c>
      <c r="O106">
        <v>9</v>
      </c>
      <c r="P106" t="s">
        <v>157</v>
      </c>
      <c r="Q106" t="s">
        <v>161</v>
      </c>
    </row>
    <row r="107" spans="1:17" x14ac:dyDescent="0.35">
      <c r="A107">
        <v>5</v>
      </c>
      <c r="B107">
        <f t="shared" si="4"/>
        <v>9</v>
      </c>
      <c r="C107">
        <v>731</v>
      </c>
      <c r="D107">
        <v>-9</v>
      </c>
      <c r="E107" s="1">
        <v>16577</v>
      </c>
      <c r="F107">
        <v>9</v>
      </c>
      <c r="G107">
        <v>19</v>
      </c>
      <c r="H107" t="s">
        <v>76</v>
      </c>
      <c r="I107">
        <v>103</v>
      </c>
      <c r="J107">
        <v>29</v>
      </c>
      <c r="K107" t="s">
        <v>75</v>
      </c>
      <c r="L107" t="s">
        <v>150</v>
      </c>
      <c r="M107">
        <v>6000</v>
      </c>
      <c r="P107" t="s">
        <v>158</v>
      </c>
    </row>
    <row r="108" spans="1:17" x14ac:dyDescent="0.35">
      <c r="A108">
        <v>5</v>
      </c>
      <c r="B108">
        <f t="shared" si="4"/>
        <v>10</v>
      </c>
      <c r="C108">
        <v>57</v>
      </c>
      <c r="D108">
        <v>-9</v>
      </c>
      <c r="E108" s="1">
        <v>16580</v>
      </c>
      <c r="F108">
        <v>10</v>
      </c>
      <c r="G108">
        <v>27</v>
      </c>
      <c r="H108" t="s">
        <v>76</v>
      </c>
      <c r="I108">
        <v>99</v>
      </c>
      <c r="J108">
        <v>28</v>
      </c>
      <c r="K108" t="s">
        <v>75</v>
      </c>
      <c r="L108" t="s">
        <v>148</v>
      </c>
      <c r="M108">
        <v>12000</v>
      </c>
      <c r="N108">
        <v>180</v>
      </c>
      <c r="O108">
        <v>4</v>
      </c>
      <c r="P108" t="s">
        <v>157</v>
      </c>
      <c r="Q108" t="s">
        <v>166</v>
      </c>
    </row>
    <row r="109" spans="1:17" x14ac:dyDescent="0.35">
      <c r="A109">
        <v>5</v>
      </c>
      <c r="B109">
        <f t="shared" si="4"/>
        <v>11</v>
      </c>
      <c r="C109">
        <v>350</v>
      </c>
      <c r="D109">
        <v>-9</v>
      </c>
      <c r="E109" s="1">
        <v>16582</v>
      </c>
      <c r="F109">
        <v>8</v>
      </c>
      <c r="G109">
        <v>16</v>
      </c>
      <c r="H109" t="s">
        <v>76</v>
      </c>
      <c r="I109">
        <v>102</v>
      </c>
      <c r="J109">
        <v>49</v>
      </c>
      <c r="K109" t="s">
        <v>75</v>
      </c>
      <c r="L109" t="s">
        <v>151</v>
      </c>
      <c r="M109">
        <v>9500</v>
      </c>
      <c r="N109">
        <v>20</v>
      </c>
      <c r="O109">
        <v>12</v>
      </c>
      <c r="P109" t="s">
        <v>120</v>
      </c>
      <c r="Q109" t="s">
        <v>167</v>
      </c>
    </row>
    <row r="110" spans="1:17" x14ac:dyDescent="0.35">
      <c r="A110">
        <v>5</v>
      </c>
      <c r="B110">
        <f t="shared" si="4"/>
        <v>12</v>
      </c>
      <c r="C110">
        <v>400</v>
      </c>
      <c r="D110">
        <v>-9</v>
      </c>
      <c r="E110" s="1">
        <v>16582</v>
      </c>
      <c r="F110">
        <v>8</v>
      </c>
      <c r="G110">
        <v>11</v>
      </c>
      <c r="H110" t="s">
        <v>76</v>
      </c>
      <c r="I110">
        <v>102</v>
      </c>
      <c r="J110">
        <v>52</v>
      </c>
      <c r="K110" t="s">
        <v>75</v>
      </c>
      <c r="L110" t="s">
        <v>152</v>
      </c>
      <c r="M110">
        <v>9000</v>
      </c>
      <c r="N110">
        <v>250</v>
      </c>
      <c r="O110">
        <v>12</v>
      </c>
      <c r="P110" t="s">
        <v>120</v>
      </c>
      <c r="Q110" t="s">
        <v>168</v>
      </c>
    </row>
    <row r="111" spans="1:17" x14ac:dyDescent="0.35">
      <c r="A111">
        <v>5</v>
      </c>
      <c r="B111">
        <f t="shared" si="4"/>
        <v>13</v>
      </c>
      <c r="C111">
        <v>2130</v>
      </c>
      <c r="D111">
        <v>-9</v>
      </c>
      <c r="E111" s="1">
        <v>16582</v>
      </c>
      <c r="F111">
        <v>8</v>
      </c>
      <c r="G111">
        <v>14</v>
      </c>
      <c r="H111" t="s">
        <v>76</v>
      </c>
      <c r="I111">
        <v>102</v>
      </c>
      <c r="J111">
        <v>52</v>
      </c>
      <c r="K111" t="s">
        <v>75</v>
      </c>
      <c r="L111" t="s">
        <v>153</v>
      </c>
      <c r="M111">
        <v>9500</v>
      </c>
      <c r="N111">
        <v>345</v>
      </c>
      <c r="O111">
        <v>12</v>
      </c>
      <c r="P111" t="s">
        <v>120</v>
      </c>
      <c r="Q111" t="s">
        <v>169</v>
      </c>
    </row>
    <row r="112" spans="1:17" x14ac:dyDescent="0.35">
      <c r="A112">
        <v>5</v>
      </c>
      <c r="B112">
        <f t="shared" si="4"/>
        <v>14</v>
      </c>
      <c r="C112">
        <v>2243</v>
      </c>
      <c r="D112">
        <v>-9</v>
      </c>
      <c r="E112" s="1">
        <v>16583</v>
      </c>
      <c r="F112">
        <v>8</v>
      </c>
      <c r="G112">
        <v>0</v>
      </c>
      <c r="H112" t="s">
        <v>76</v>
      </c>
      <c r="I112">
        <v>103</v>
      </c>
      <c r="J112">
        <v>0</v>
      </c>
      <c r="K112" t="s">
        <v>75</v>
      </c>
      <c r="L112" t="s">
        <v>151</v>
      </c>
      <c r="M112">
        <v>12000</v>
      </c>
      <c r="P112" t="s">
        <v>120</v>
      </c>
      <c r="Q112" t="s">
        <v>170</v>
      </c>
    </row>
    <row r="113" spans="1:17" x14ac:dyDescent="0.35">
      <c r="A113">
        <v>5</v>
      </c>
      <c r="B113">
        <f t="shared" si="4"/>
        <v>15</v>
      </c>
      <c r="C113">
        <v>1759</v>
      </c>
      <c r="D113">
        <v>-9</v>
      </c>
      <c r="E113" s="1">
        <v>16587</v>
      </c>
      <c r="F113">
        <v>10</v>
      </c>
      <c r="G113">
        <v>9</v>
      </c>
      <c r="H113" t="s">
        <v>76</v>
      </c>
      <c r="I113">
        <v>99</v>
      </c>
      <c r="J113">
        <v>12</v>
      </c>
      <c r="K113" t="s">
        <v>75</v>
      </c>
      <c r="L113" t="s">
        <v>148</v>
      </c>
      <c r="M113">
        <v>8000</v>
      </c>
      <c r="N113">
        <v>300</v>
      </c>
      <c r="O113">
        <v>2</v>
      </c>
      <c r="P113" t="s">
        <v>158</v>
      </c>
      <c r="Q113" t="s">
        <v>171</v>
      </c>
    </row>
    <row r="114" spans="1:17" x14ac:dyDescent="0.35">
      <c r="A114">
        <v>5</v>
      </c>
      <c r="B114">
        <f t="shared" si="4"/>
        <v>16</v>
      </c>
      <c r="C114">
        <v>700</v>
      </c>
      <c r="D114">
        <v>-9</v>
      </c>
      <c r="E114" s="1">
        <v>16588</v>
      </c>
      <c r="F114">
        <v>8</v>
      </c>
      <c r="G114">
        <v>4</v>
      </c>
      <c r="H114" t="s">
        <v>76</v>
      </c>
      <c r="I114">
        <v>100</v>
      </c>
      <c r="J114">
        <v>55</v>
      </c>
      <c r="K114" t="s">
        <v>75</v>
      </c>
      <c r="L114" t="s">
        <v>149</v>
      </c>
      <c r="M114">
        <v>12000</v>
      </c>
      <c r="N114">
        <v>320</v>
      </c>
      <c r="O114">
        <v>12</v>
      </c>
      <c r="P114" t="s">
        <v>120</v>
      </c>
    </row>
    <row r="115" spans="1:17" x14ac:dyDescent="0.35">
      <c r="A115">
        <v>5</v>
      </c>
      <c r="B115">
        <f t="shared" si="4"/>
        <v>17</v>
      </c>
      <c r="C115">
        <v>900</v>
      </c>
      <c r="D115">
        <v>-9</v>
      </c>
      <c r="E115" s="1">
        <v>16589</v>
      </c>
      <c r="F115">
        <v>8</v>
      </c>
      <c r="G115">
        <v>3</v>
      </c>
      <c r="H115" t="s">
        <v>76</v>
      </c>
      <c r="I115">
        <v>101</v>
      </c>
      <c r="J115">
        <v>9</v>
      </c>
      <c r="K115" t="s">
        <v>75</v>
      </c>
      <c r="L115" t="s">
        <v>148</v>
      </c>
      <c r="M115">
        <v>30000</v>
      </c>
      <c r="N115">
        <v>200</v>
      </c>
      <c r="O115">
        <v>2</v>
      </c>
      <c r="P115" t="s">
        <v>159</v>
      </c>
      <c r="Q115" t="s">
        <v>172</v>
      </c>
    </row>
    <row r="116" spans="1:17" x14ac:dyDescent="0.35">
      <c r="A116">
        <v>5</v>
      </c>
      <c r="B116">
        <f t="shared" si="4"/>
        <v>18</v>
      </c>
      <c r="C116">
        <v>1356</v>
      </c>
      <c r="D116">
        <v>-9</v>
      </c>
      <c r="E116" s="1">
        <v>16589</v>
      </c>
      <c r="F116">
        <v>7</v>
      </c>
      <c r="G116">
        <v>54</v>
      </c>
      <c r="H116" t="s">
        <v>76</v>
      </c>
      <c r="I116">
        <v>101</v>
      </c>
      <c r="J116">
        <v>9</v>
      </c>
      <c r="K116" t="s">
        <v>75</v>
      </c>
      <c r="L116" t="s">
        <v>151</v>
      </c>
      <c r="M116">
        <v>20000</v>
      </c>
      <c r="N116">
        <v>315</v>
      </c>
      <c r="O116">
        <v>14</v>
      </c>
      <c r="P116" t="s">
        <v>159</v>
      </c>
      <c r="Q116" t="s">
        <v>173</v>
      </c>
    </row>
    <row r="117" spans="1:17" x14ac:dyDescent="0.35">
      <c r="A117">
        <v>5</v>
      </c>
      <c r="B117">
        <f t="shared" si="4"/>
        <v>19</v>
      </c>
      <c r="C117">
        <v>1552</v>
      </c>
      <c r="D117">
        <v>-9</v>
      </c>
      <c r="E117" s="1">
        <v>16589</v>
      </c>
      <c r="F117">
        <v>8</v>
      </c>
      <c r="G117">
        <v>5</v>
      </c>
      <c r="H117" t="s">
        <v>76</v>
      </c>
      <c r="I117">
        <v>101</v>
      </c>
      <c r="J117">
        <v>5</v>
      </c>
      <c r="K117" t="s">
        <v>75</v>
      </c>
      <c r="L117" t="s">
        <v>148</v>
      </c>
      <c r="M117">
        <v>30000</v>
      </c>
      <c r="N117">
        <v>150</v>
      </c>
      <c r="O117">
        <v>1</v>
      </c>
      <c r="P117" t="s">
        <v>159</v>
      </c>
      <c r="Q117" t="s">
        <v>174</v>
      </c>
    </row>
    <row r="118" spans="1:17" x14ac:dyDescent="0.35">
      <c r="A118">
        <v>5</v>
      </c>
      <c r="B118">
        <f t="shared" si="4"/>
        <v>20</v>
      </c>
      <c r="C118">
        <v>1706</v>
      </c>
      <c r="D118">
        <v>-9</v>
      </c>
      <c r="E118" s="1">
        <v>16589</v>
      </c>
      <c r="F118">
        <v>8</v>
      </c>
      <c r="G118">
        <v>4</v>
      </c>
      <c r="H118" t="s">
        <v>76</v>
      </c>
      <c r="I118">
        <v>100</v>
      </c>
      <c r="J118">
        <v>55</v>
      </c>
      <c r="K118" t="s">
        <v>75</v>
      </c>
      <c r="L118" t="s">
        <v>149</v>
      </c>
      <c r="M118">
        <v>2000</v>
      </c>
      <c r="P118" t="s">
        <v>120</v>
      </c>
      <c r="Q118" t="s">
        <v>175</v>
      </c>
    </row>
    <row r="119" spans="1:17" x14ac:dyDescent="0.35">
      <c r="A119">
        <v>5</v>
      </c>
      <c r="B119">
        <f t="shared" si="4"/>
        <v>21</v>
      </c>
      <c r="C119">
        <v>1840</v>
      </c>
      <c r="D119">
        <v>-9</v>
      </c>
      <c r="E119" s="1">
        <v>16590</v>
      </c>
      <c r="F119">
        <v>7</v>
      </c>
      <c r="G119">
        <v>50</v>
      </c>
      <c r="H119" t="s">
        <v>76</v>
      </c>
      <c r="I119">
        <v>101</v>
      </c>
      <c r="J119">
        <v>3</v>
      </c>
      <c r="K119" t="s">
        <v>75</v>
      </c>
      <c r="L119" t="s">
        <v>151</v>
      </c>
      <c r="M119">
        <v>20000</v>
      </c>
      <c r="O119">
        <v>13</v>
      </c>
      <c r="P119" t="s">
        <v>120</v>
      </c>
      <c r="Q119" t="s">
        <v>175</v>
      </c>
    </row>
    <row r="120" spans="1:17" x14ac:dyDescent="0.35">
      <c r="A120">
        <v>5</v>
      </c>
      <c r="B120">
        <f t="shared" si="4"/>
        <v>22</v>
      </c>
      <c r="C120">
        <v>310</v>
      </c>
      <c r="D120">
        <v>-9</v>
      </c>
      <c r="E120" s="1">
        <v>16596</v>
      </c>
      <c r="F120">
        <v>8</v>
      </c>
      <c r="G120">
        <v>20</v>
      </c>
      <c r="H120" t="s">
        <v>76</v>
      </c>
      <c r="I120">
        <v>105</v>
      </c>
      <c r="J120">
        <v>20</v>
      </c>
      <c r="K120" t="s">
        <v>75</v>
      </c>
      <c r="L120" t="s">
        <v>154</v>
      </c>
      <c r="M120">
        <v>17000</v>
      </c>
      <c r="N120">
        <v>55</v>
      </c>
      <c r="O120">
        <v>9.5</v>
      </c>
      <c r="P120" t="s">
        <v>157</v>
      </c>
      <c r="Q120" t="s">
        <v>176</v>
      </c>
    </row>
    <row r="121" spans="1:17" x14ac:dyDescent="0.35">
      <c r="A121">
        <v>5</v>
      </c>
      <c r="B121">
        <f t="shared" si="4"/>
        <v>23</v>
      </c>
      <c r="C121">
        <v>753</v>
      </c>
      <c r="D121">
        <v>-9</v>
      </c>
      <c r="E121" s="1">
        <v>16597</v>
      </c>
      <c r="F121">
        <v>2</v>
      </c>
      <c r="G121">
        <v>5</v>
      </c>
      <c r="H121" t="s">
        <v>76</v>
      </c>
      <c r="I121">
        <v>106</v>
      </c>
      <c r="J121">
        <v>55</v>
      </c>
      <c r="K121" t="s">
        <v>75</v>
      </c>
      <c r="L121" t="s">
        <v>155</v>
      </c>
      <c r="M121">
        <v>13000</v>
      </c>
      <c r="N121">
        <v>0</v>
      </c>
      <c r="O121">
        <v>14</v>
      </c>
      <c r="P121" t="s">
        <v>160</v>
      </c>
    </row>
    <row r="122" spans="1:17" x14ac:dyDescent="0.35">
      <c r="A122">
        <v>5</v>
      </c>
      <c r="B122">
        <f t="shared" si="4"/>
        <v>24</v>
      </c>
      <c r="C122">
        <v>1342</v>
      </c>
      <c r="D122">
        <v>-9</v>
      </c>
      <c r="E122" s="1">
        <v>16597</v>
      </c>
      <c r="F122">
        <v>1</v>
      </c>
      <c r="G122">
        <v>30</v>
      </c>
      <c r="H122" t="s">
        <v>76</v>
      </c>
      <c r="I122">
        <v>106</v>
      </c>
      <c r="J122">
        <v>30</v>
      </c>
      <c r="K122" t="s">
        <v>75</v>
      </c>
      <c r="L122" t="s">
        <v>152</v>
      </c>
      <c r="M122">
        <v>20000</v>
      </c>
      <c r="N122">
        <v>0</v>
      </c>
      <c r="O122">
        <v>14</v>
      </c>
      <c r="P122" t="s">
        <v>159</v>
      </c>
      <c r="Q122" t="s">
        <v>177</v>
      </c>
    </row>
    <row r="123" spans="1:17" x14ac:dyDescent="0.35">
      <c r="A123">
        <v>5</v>
      </c>
      <c r="B123">
        <f t="shared" si="4"/>
        <v>25</v>
      </c>
      <c r="C123">
        <v>1842</v>
      </c>
      <c r="D123">
        <v>-9</v>
      </c>
      <c r="E123" s="1">
        <v>16603</v>
      </c>
      <c r="F123">
        <v>21</v>
      </c>
      <c r="G123">
        <v>0</v>
      </c>
      <c r="H123" t="s">
        <v>74</v>
      </c>
      <c r="I123">
        <v>114</v>
      </c>
      <c r="J123">
        <v>30</v>
      </c>
      <c r="K123" t="s">
        <v>75</v>
      </c>
      <c r="L123" t="s">
        <v>156</v>
      </c>
      <c r="M123">
        <v>18000</v>
      </c>
      <c r="N123">
        <v>350</v>
      </c>
      <c r="O123">
        <v>14</v>
      </c>
      <c r="P123" t="s">
        <v>120</v>
      </c>
      <c r="Q123" t="s">
        <v>178</v>
      </c>
    </row>
    <row r="124" spans="1:17" x14ac:dyDescent="0.35">
      <c r="A124" t="s">
        <v>116</v>
      </c>
      <c r="B124" t="s">
        <v>116</v>
      </c>
    </row>
    <row r="125" spans="1:17" x14ac:dyDescent="0.35">
      <c r="B125" t="s">
        <v>116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Knapp</dc:creator>
  <cp:lastModifiedBy>Joe Knapp</cp:lastModifiedBy>
  <dcterms:created xsi:type="dcterms:W3CDTF">2025-12-14T01:40:01Z</dcterms:created>
  <dcterms:modified xsi:type="dcterms:W3CDTF">2025-12-16T12:41:21Z</dcterms:modified>
</cp:coreProperties>
</file>